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800"/>
  </bookViews>
  <sheets>
    <sheet name="giab_comparaison_RENOME_V5_Hg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<sst xmlns="http://schemas.openxmlformats.org/spreadsheetml/2006/main" count="33" uniqueCount="27">
  <si>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NGS2025_08660</t>
  </si>
  <si>
    <t>Capture: RENOME_V5_Hg19</t>
  </si>
  <si>
    <t>best</t>
  </si>
  <si>
    <t>Accuracy = TP/(TP+FP)</t>
  </si>
  <si>
    <t>Alignment method: bwa</t>
  </si>
  <si>
    <t>worst</t>
  </si>
  <si>
    <t>Sensitivity = TP/(TP+FN)</t>
  </si>
  <si>
    <t>depth coverage ≥30 X</t>
  </si>
  <si>
    <t>SNP</t>
  </si>
  <si>
    <t>Indel</t>
  </si>
  <si>
    <t>Caller</t>
  </si>
  <si>
    <t>indel</t>
  </si>
  <si>
    <t>total</t>
  </si>
  <si>
    <t>True Positive</t>
  </si>
  <si>
    <t>False Postive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</si>
  <si>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</si>
  <si>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</si>
  <si>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</si>
  <si>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</si>
  <si>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</si>
  <si>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</si>
  <si>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</si>
  <si>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</si>
  <si>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 called by :</t>
  </si>
  <si>
    <t>at least 1 caller</t>
  </si>
  <si>
    <t>all 5 callers</t>
  </si>
  <si>
    <r>
      <rPr>
        <b/>
        <sz val="10"/>
        <color theme="1"/>
        <rFont val="Arial"/>
        <charset val="134"/>
      </rPr>
      <t xml:space="preserve">NIST GIAB
</t>
    </r>
    <r>
      <rPr>
        <sz val="10"/>
        <color theme="1"/>
        <rFont val="Arial"/>
        <charset val="134"/>
      </rPr>
      <t>bed restricted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</si>
</sst>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</numFmts>
  <fonts count="29"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b/>
      <sz val="9"/>
      <color theme="9" tint="-0.499984740745262"/>
      <name val="Arial"/>
      <charset val="134"/>
    </font>
    <font>
      <sz val="9"/>
      <color theme="9" tint="-0.499984740745262"/>
      <name val="Arial"/>
      <charset val="134"/>
    </font>
    <font>
      <sz val="9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Arial"/>
      <charset val="134"/>
    </font>
    <font>
      <sz val="18"/>
      <color theme="3"/>
      <name val="Calibri Light"/>
      <charset val="134"/>
      <scheme val="major"/>
    </font>
    <font>
      <i/>
      <sz val="9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9"/>
      <color rgb="FF3F3F76"/>
      <name val="Arial"/>
      <charset val="134"/>
    </font>
    <font>
      <b/>
      <sz val="9"/>
      <color rgb="FF3F3F3F"/>
      <name val="Arial"/>
      <charset val="134"/>
    </font>
    <font>
      <b/>
      <sz val="9"/>
      <color rgb="FFFA7D00"/>
      <name val="Arial"/>
      <charset val="134"/>
    </font>
    <font>
      <b/>
      <sz val="9"/>
      <color theme="0"/>
      <name val="Arial"/>
      <charset val="134"/>
    </font>
    <font>
      <sz val="9"/>
      <color rgb="FFFA7D00"/>
      <name val="Arial"/>
      <charset val="134"/>
    </font>
    <font>
      <sz val="9"/>
      <color rgb="FF006100"/>
      <name val="Arial"/>
      <charset val="134"/>
    </font>
    <font>
      <sz val="9"/>
      <color rgb="FF9C0006"/>
      <name val="Arial"/>
      <charset val="134"/>
    </font>
    <font>
      <sz val="9"/>
      <color rgb="FF9C6500"/>
      <name val="Arial"/>
      <charset val="134"/>
    </font>
    <font>
      <sz val="9"/>
      <color theme="0"/>
      <name val="Arial"/>
      <charset val="134"/>
    </font>
    <font>
      <sz val="10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7" applyNumberFormat="0" applyAlignment="0" applyProtection="0"/>
    <xf numFmtId="0" fontId="20" fillId="8" borderId="18" applyNumberFormat="0" applyAlignment="0" applyProtection="0"/>
    <xf numFmtId="0" fontId="21" fillId="8" borderId="17" applyNumberFormat="0" applyAlignment="0" applyProtection="0"/>
    <xf numFmtId="0" fontId="22" fillId="9" borderId="19" applyNumberFormat="0" applyAlignment="0" applyProtection="0"/>
    <xf numFmtId="0" fontId="23" fillId="0" borderId="20" applyNumberFormat="0" applyFill="0" applyAlignment="0" applyProtection="0"/>
    <xf numFmtId="0" fontId="4" fillId="0" borderId="21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0" fillId="4" borderId="0" applyNumberFormat="0" applyBorder="0" applyAlignment="0" applyProtection="0"/>
    <xf numFmtId="0" fontId="0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7" fillId="35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8" xfId="0" applyFont="1" applyBorder="1"/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4" fillId="0" borderId="3" xfId="0" applyFont="1" applyFill="1" applyBorder="1"/>
    <xf numFmtId="0" fontId="6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4" fillId="4" borderId="0" xfId="0" applyFont="1" applyFill="1"/>
    <xf numFmtId="0" fontId="4" fillId="5" borderId="0" xfId="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/>
    </xf>
    <xf numFmtId="0" fontId="8" fillId="0" borderId="0" xfId="0" applyFont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0" fillId="0" borderId="10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0" fillId="0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FBC5C5"/>
        </patternFill>
      </fill>
    </dxf>
    <dxf>
      <font>
        <b val="1"/>
        <i val="0"/>
      </font>
      <fill>
        <patternFill patternType="solid">
          <bgColor rgb="FFDDEBF7"/>
        </patternFill>
      </fill>
    </dxf>
  </dxfs>
  <tableStyles count="0" defaultTableStyle="TableStyleMedium2" defaultPivotStyle="PivotStyleLight16"/>
  <colors>
    <mruColors>
      <color rgb="00FFC5C5"/>
      <color rgb="0034AC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giab_comparaison_RENOME_V5_Hg19!$B$6</c:f>
              <c:strCache>
                <c:ptCount val="1"/>
                <c:pt idx="0">
                  <c:v>SNP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giab_comparaison_RENOME_V5_Hg19!$B$7:$B$14</c15:sqref>
                  </c15:fullRef>
                </c:ext>
              </c:extLst>
              <c:f>(giab_comparaison_RENOME_V5_Hg19!$B$7:$B$11,giab_comparaison_RENOME_V5_Hg19!$B$13:$B$14)</c:f>
              <c:numCache>
                <c:formatCode>General</c:formatCode>
                <c:ptCount val="7"/>
                <c:pt idx="0">
                  <c:v>1056</c:v>
                </c:pt>
                <c:pt idx="1">
                  <c:v>1074</c:v>
                </c:pt>
                <c:pt idx="2">
                  <c:v>1066</c:v>
                </c:pt>
                <c:pt idx="3">
                  <c:v>1053</c:v>
                </c:pt>
                <c:pt idx="4">
                  <c:v>1103</c:v>
                </c:pt>
                <c:pt idx="5">
                  <c:v>1119</c:v>
                </c:pt>
                <c:pt idx="6">
                  <c:v>1050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giab_comparaison_RENOME_V5_Hg19!$C$6</c:f>
              <c:strCache>
                <c:ptCount val="1"/>
                <c:pt idx="0">
                  <c:v>indel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giab_comparaison_RENOME_V5_Hg19!$C$7:$C$14</c15:sqref>
                  </c15:fullRef>
                </c:ext>
              </c:extLst>
              <c:f>(giab_comparaison_RENOME_V5_Hg19!$C$7:$C$11,giab_comparaison_RENOME_V5_Hg19!$C$13:$C$14)</c:f>
              <c:numCache>
                <c:formatCode>General</c:formatCode>
                <c:ptCount val="7"/>
                <c:pt idx="0">
                  <c:v>125</c:v>
                </c:pt>
                <c:pt idx="1">
                  <c:v>140</c:v>
                </c:pt>
                <c:pt idx="2">
                  <c:v>209</c:v>
                </c:pt>
                <c:pt idx="3">
                  <c:v>79</c:v>
                </c:pt>
                <c:pt idx="4">
                  <c:v>197</c:v>
                </c:pt>
                <c:pt idx="5">
                  <c:v>263</c:v>
                </c:pt>
                <c:pt idx="6">
                  <c:v>42</c:v>
                </c:pt>
              </c:numCache>
            </c:numRef>
          </c:val>
        </c:ser>
        <c:ser>
          <c:idx val="5"/>
          <c:order val="5"/>
          <c:tx>
            <c:strRef>
              <c:f>giab_comparaison_RENOME_V5_Hg19!$D$6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giab_comparaison_RENOME_V5_Hg19!$D$7:$D$14</c15:sqref>
                  </c15:fullRef>
                </c:ext>
              </c:extLst>
              <c:f>(giab_comparaison_RENOME_V5_Hg19!$D$7:$D$11,giab_comparaison_RENOME_V5_Hg19!$D$13:$D$14)</c:f>
              <c:numCache>
                <c:formatCode>General</c:formatCode>
                <c:ptCount val="7"/>
                <c:pt idx="0">
                  <c:v>1181</c:v>
                </c:pt>
                <c:pt idx="1">
                  <c:v>1214</c:v>
                </c:pt>
                <c:pt idx="2">
                  <c:v>1275</c:v>
                </c:pt>
                <c:pt idx="3">
                  <c:v>1132</c:v>
                </c:pt>
                <c:pt idx="4">
                  <c:v>1300</c:v>
                </c:pt>
                <c:pt idx="5">
                  <c:v>1382</c:v>
                </c:pt>
                <c:pt idx="6">
                  <c:v>1092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giab_comparaison_RENOME_V5_Hg19!$E$6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giab_comparaison_RENOME_V5_Hg19!$E$7:$E$14</c15:sqref>
                        </c15:fullRef>
                        <c15:formulaRef>
                          <c15:sqref>(giab_comparaison_RENOME_V5_Hg19!$E$7:$E$11,giab_comparaison_RENOME_V5_Hg19!$E$13:$E$14)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1054</c:v>
                      </c:pt>
                      <c:pt idx="1">
                        <c:v>1053</c:v>
                      </c:pt>
                      <c:pt idx="2">
                        <c:v>1056</c:v>
                      </c:pt>
                      <c:pt idx="3">
                        <c:v>1050</c:v>
                      </c:pt>
                      <c:pt idx="4">
                        <c:v>1056</c:v>
                      </c:pt>
                      <c:pt idx="5">
                        <c:v>1056</c:v>
                      </c:pt>
                      <c:pt idx="6">
                        <c:v>1050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giab_comparaison_RENOME_V5_Hg19!$F$6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giab_comparaison_RENOME_V5_Hg19!$F$7:$F$14</c15:sqref>
                        </c15:fullRef>
                        <c15:formulaRef>
                          <c15:sqref>(giab_comparaison_RENOME_V5_Hg19!$F$7:$F$11,giab_comparaison_RENOME_V5_Hg19!$F$13:$F$14)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21</c:v>
                      </c:pt>
                      <c:pt idx="2">
                        <c:v>10</c:v>
                      </c:pt>
                      <c:pt idx="3">
                        <c:v>3</c:v>
                      </c:pt>
                      <c:pt idx="4">
                        <c:v>47</c:v>
                      </c:pt>
                      <c:pt idx="5">
                        <c:v>63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giab_comparaison_RENOME_V5_Hg19!$G$6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giab_comparaison_RENOME_V5_Hg19!$G$7:$G$14</c15:sqref>
                        </c15:fullRef>
                        <c15:formulaRef>
                          <c15:sqref>(giab_comparaison_RENOME_V5_Hg19!$G$7:$G$11,giab_comparaison_RENOME_V5_Hg19!$G$13:$G$14)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</c:v>
                      </c:pt>
                      <c:pt idx="1">
                        <c:v>5</c:v>
                      </c:pt>
                      <c:pt idx="2">
                        <c:v>1</c:v>
                      </c:pt>
                      <c:pt idx="3">
                        <c:v>8</c:v>
                      </c:pt>
                      <c:pt idx="4">
                        <c:v>2</c:v>
                      </c:pt>
                      <c:pt idx="5">
                        <c:v>8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giab_comparaison_RENOME_V5_Hg19!$H$6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giab_comparaison_RENOME_V5_Hg19!$H$7:$H$14</c15:sqref>
                        </c15:fullRef>
                        <c15:formulaRef>
                          <c15:sqref>(giab_comparaison_RENOME_V5_Hg19!$H$7:$H$11,giab_comparaison_RENOME_V5_Hg19!$H$13:$H$14)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0.998106060606061</c:v>
                      </c:pt>
                      <c:pt idx="1">
                        <c:v>0.980446927374302</c:v>
                      </c:pt>
                      <c:pt idx="2">
                        <c:v>0.9906191369606</c:v>
                      </c:pt>
                      <c:pt idx="3">
                        <c:v>0.997150997150997</c:v>
                      </c:pt>
                      <c:pt idx="4">
                        <c:v>0.957388939256573</c:v>
                      </c:pt>
                      <c:pt idx="5">
                        <c:v>0.943699731903485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giab_comparaison_RENOME_V5_Hg19!$I$6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giab_comparaison_RENOME_V5_Hg19!$I$7:$I$14</c15:sqref>
                        </c15:fullRef>
                        <c15:formulaRef>
                          <c15:sqref>(giab_comparaison_RENOME_V5_Hg19!$I$7:$I$11,giab_comparaison_RENOME_V5_Hg19!$I$13:$I$14)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0.997161778618732</c:v>
                      </c:pt>
                      <c:pt idx="1">
                        <c:v>0.995274102079395</c:v>
                      </c:pt>
                      <c:pt idx="2">
                        <c:v>0.999053926206244</c:v>
                      </c:pt>
                      <c:pt idx="3">
                        <c:v>0.992438563327032</c:v>
                      </c:pt>
                      <c:pt idx="4">
                        <c:v>0.998109640831758</c:v>
                      </c:pt>
                      <c:pt idx="5">
                        <c:v>0.992481203007519</c:v>
                      </c:pt>
                      <c:pt idx="6">
                        <c:v>0.999048525214082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4beaa0-c473-4b08-8126-92935596a2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giab_comparaison_RENOME_V5_Hg19!$E$7</c:f>
              <c:numCache>
                <c:formatCode>General</c:formatCode>
                <c:ptCount val="1"/>
                <c:pt idx="0">
                  <c:v>1054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giab_comparaison_RENOME_V5_Hg19!$E$9</c:f>
              <c:numCache>
                <c:formatCode>General</c:formatCode>
                <c:ptCount val="1"/>
                <c:pt idx="0">
                  <c:v>1056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giab_comparaison_RENOME_V5_Hg19!$E$8</c:f>
              <c:numCache>
                <c:formatCode>General</c:formatCode>
                <c:ptCount val="1"/>
                <c:pt idx="0">
                  <c:v>1053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giab_comparaison_RENOME_V5_Hg19!$E$10</c:f>
              <c:numCache>
                <c:formatCode>General</c:formatCode>
                <c:ptCount val="1"/>
                <c:pt idx="0">
                  <c:v>1050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giab_comparaison_RENOME_V5_Hg19!$E$11</c:f>
              <c:numCache>
                <c:formatCode>General</c:formatCode>
                <c:ptCount val="1"/>
                <c:pt idx="0">
                  <c:v>1056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giab_comparaison_RENOME_V5_Hg19!$E$13</c:f>
              <c:numCache>
                <c:formatCode>General</c:formatCode>
                <c:ptCount val="1"/>
                <c:pt idx="0">
                  <c:v>1056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giab_comparaison_RENOME_V5_Hg19!$E$14</c:f>
              <c:numCache>
                <c:formatCode>General</c:formatCode>
                <c:ptCount val="1"/>
                <c:pt idx="0">
                  <c:v>1050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giab_comparaison_RENOME_V5_Hg19!$E$12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7"/>
          <c:order val="3"/>
          <c:tx>
            <c:strRef>
              <c:f>giab_comparaison_RENOME_V5_Hg19!$E$6</c:f>
              <c:strCache>
                <c:ptCount val="1"/>
                <c:pt idx="0">
                  <c:v>True 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giab_comparaison_RENOME_V5_Hg19!$E$7:$E$14</c15:sqref>
                  </c15:fullRef>
                </c:ext>
              </c:extLst>
              <c:f>(giab_comparaison_RENOME_V5_Hg19!$E$7:$E$11,giab_comparaison_RENOME_V5_Hg19!$E$13:$E$14)</c:f>
              <c:numCache>
                <c:formatCode>General</c:formatCode>
                <c:ptCount val="7"/>
                <c:pt idx="0">
                  <c:v>1054</c:v>
                </c:pt>
                <c:pt idx="1">
                  <c:v>1053</c:v>
                </c:pt>
                <c:pt idx="2">
                  <c:v>1056</c:v>
                </c:pt>
                <c:pt idx="3">
                  <c:v>1050</c:v>
                </c:pt>
                <c:pt idx="4">
                  <c:v>1056</c:v>
                </c:pt>
                <c:pt idx="5">
                  <c:v>1056</c:v>
                </c:pt>
                <c:pt idx="6">
                  <c:v>1050</c:v>
                </c:pt>
              </c:numCache>
            </c:numRef>
          </c:val>
        </c:ser>
        <c:ser>
          <c:idx val="9"/>
          <c:order val="4"/>
          <c:tx>
            <c:strRef>
              <c:f>giab_comparaison_RENOME_V5_Hg19!$F$6</c:f>
              <c:strCache>
                <c:ptCount val="1"/>
                <c:pt idx="0">
                  <c:v>False Postive</c:v>
                </c:pt>
              </c:strCache>
            </c:strRef>
          </c:tx>
          <c:spPr>
            <a:solidFill>
              <a:srgbClr val="34ACF9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giab_comparaison_RENOME_V5_Hg19!$F$7:$F$14</c15:sqref>
                  </c15:fullRef>
                </c:ext>
              </c:extLst>
              <c:f>(giab_comparaison_RENOME_V5_Hg19!$F$7:$F$11,giab_comparaison_RENOME_V5_Hg19!$F$13:$F$14)</c:f>
              <c:numCache>
                <c:formatCode>General</c:formatCode>
                <c:ptCount val="7"/>
                <c:pt idx="0">
                  <c:v>2</c:v>
                </c:pt>
                <c:pt idx="1">
                  <c:v>21</c:v>
                </c:pt>
                <c:pt idx="2">
                  <c:v>10</c:v>
                </c:pt>
                <c:pt idx="3">
                  <c:v>3</c:v>
                </c:pt>
                <c:pt idx="4">
                  <c:v>47</c:v>
                </c:pt>
                <c:pt idx="5">
                  <c:v>63</c:v>
                </c:pt>
                <c:pt idx="6">
                  <c:v>0</c:v>
                </c:pt>
              </c:numCache>
            </c:numRef>
          </c:val>
        </c:ser>
        <c:ser>
          <c:idx val="11"/>
          <c:order val="5"/>
          <c:tx>
            <c:strRef>
              <c:f>giab_comparaison_RENOME_V5_Hg19!$G$6</c:f>
              <c:strCache>
                <c:ptCount val="1"/>
                <c:pt idx="0">
                  <c:v>False Negative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giab_comparaison_RENOME_V5_Hg19!$G$7:$G$14</c15:sqref>
                  </c15:fullRef>
                </c:ext>
              </c:extLst>
              <c:f>(giab_comparaison_RENOME_V5_Hg19!$G$7:$G$11,giab_comparaison_RENOME_V5_Hg19!$G$13:$G$14)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8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giab_comparaison_RENOME_V5_Hg19!$B$6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giab_comparaison_RENOME_V5_Hg19!$B$7:$B$14</c15:sqref>
                        </c15:fullRef>
                        <c15:formulaRef>
                          <c15:sqref>(giab_comparaison_RENOME_V5_Hg19!$B$7:$B$11,giab_comparaison_RENOME_V5_Hg19!$B$13:$B$14)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1056</c:v>
                      </c:pt>
                      <c:pt idx="1">
                        <c:v>1074</c:v>
                      </c:pt>
                      <c:pt idx="2">
                        <c:v>1066</c:v>
                      </c:pt>
                      <c:pt idx="3">
                        <c:v>1053</c:v>
                      </c:pt>
                      <c:pt idx="4">
                        <c:v>1103</c:v>
                      </c:pt>
                      <c:pt idx="5">
                        <c:v>1119</c:v>
                      </c:pt>
                      <c:pt idx="6">
                        <c:v>1050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giab_comparaison_RENOME_V5_Hg19!$C$6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giab_comparaison_RENOME_V5_Hg19!$C$7:$C$14</c15:sqref>
                        </c15:fullRef>
                        <c15:formulaRef>
                          <c15:sqref>(giab_comparaison_RENOME_V5_Hg19!$C$7:$C$11,giab_comparaison_RENOME_V5_Hg19!$C$13:$C$14)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125</c:v>
                      </c:pt>
                      <c:pt idx="1">
                        <c:v>140</c:v>
                      </c:pt>
                      <c:pt idx="2">
                        <c:v>209</c:v>
                      </c:pt>
                      <c:pt idx="3">
                        <c:v>79</c:v>
                      </c:pt>
                      <c:pt idx="4">
                        <c:v>197</c:v>
                      </c:pt>
                      <c:pt idx="5">
                        <c:v>263</c:v>
                      </c:pt>
                      <c:pt idx="6">
                        <c:v>42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giab_comparaison_RENOME_V5_Hg19!$D$6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giab_comparaison_RENOME_V5_Hg19!$D$7:$D$14</c15:sqref>
                        </c15:fullRef>
                        <c15:formulaRef>
                          <c15:sqref>(giab_comparaison_RENOME_V5_Hg19!$D$7:$D$11,giab_comparaison_RENOME_V5_Hg19!$D$13:$D$14)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1181</c:v>
                      </c:pt>
                      <c:pt idx="1">
                        <c:v>1214</c:v>
                      </c:pt>
                      <c:pt idx="2">
                        <c:v>1275</c:v>
                      </c:pt>
                      <c:pt idx="3">
                        <c:v>1132</c:v>
                      </c:pt>
                      <c:pt idx="4">
                        <c:v>1300</c:v>
                      </c:pt>
                      <c:pt idx="5">
                        <c:v>1382</c:v>
                      </c:pt>
                      <c:pt idx="6">
                        <c:v>1092</c:v>
                      </c:pt>
                    </c:numCache>
                  </c:numRef>
                </c:val>
              </c15:ser>
            </c15:filteredBarSeries>
            <c15:filteredBarSeries>
              <c15:ser>
                <c:idx val="12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giab_comparaison_RENOME_V5_Hg19!$H$6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giab_comparaison_RENOME_V5_Hg19!$H$7:$H$14</c15:sqref>
                        </c15:fullRef>
                        <c15:formulaRef>
                          <c15:sqref>(giab_comparaison_RENOME_V5_Hg19!$H$7:$H$11,giab_comparaison_RENOME_V5_Hg19!$H$13:$H$14)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0.998106060606061</c:v>
                      </c:pt>
                      <c:pt idx="1">
                        <c:v>0.980446927374302</c:v>
                      </c:pt>
                      <c:pt idx="2">
                        <c:v>0.9906191369606</c:v>
                      </c:pt>
                      <c:pt idx="3">
                        <c:v>0.997150997150997</c:v>
                      </c:pt>
                      <c:pt idx="4">
                        <c:v>0.957388939256573</c:v>
                      </c:pt>
                      <c:pt idx="5">
                        <c:v>0.943699731903485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13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giab_comparaison_RENOME_V5_Hg19!$I$6</c15:sqref>
                        </c15:formulaRef>
                      </c:ext>
                    </c:extLst>
                    <c:strCache>
                      <c:ptCount val="1"/>
                      <c:pt idx="0">
                        <c:v>Sensitivity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giab_comparaison_RENOME_V5_Hg19!$I$7:$I$14</c15:sqref>
                        </c15:fullRef>
                        <c15:formulaRef>
                          <c15:sqref>(giab_comparaison_RENOME_V5_Hg19!$I$7:$I$11,giab_comparaison_RENOME_V5_Hg19!$I$13:$I$14)</c15:sqref>
                        </c15:formulaRef>
                      </c:ext>
                    </c:extLst>
                    <c:numCache>
                      <c:formatCode>0.000_ </c:formatCode>
                      <c:ptCount val="7"/>
                      <c:pt idx="0">
                        <c:v>0.997161778618732</c:v>
                      </c:pt>
                      <c:pt idx="1">
                        <c:v>0.995274102079395</c:v>
                      </c:pt>
                      <c:pt idx="2">
                        <c:v>0.999053926206244</c:v>
                      </c:pt>
                      <c:pt idx="3">
                        <c:v>0.992438563327032</c:v>
                      </c:pt>
                      <c:pt idx="4">
                        <c:v>0.998109640831758</c:v>
                      </c:pt>
                      <c:pt idx="5">
                        <c:v>0.992481203007519</c:v>
                      </c:pt>
                      <c:pt idx="6">
                        <c:v>0.999048525214082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22baa3-7f10-46f2-9309-bc2119b95f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2"/>
          <c:order val="12"/>
          <c:tx>
            <c:strRef>
              <c:f>giab_comparaison_RENOME_V5_Hg19!$H$6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giab_comparaison_RENOME_V5_Hg19!$H$7:$H$14</c15:sqref>
                  </c15:fullRef>
                </c:ext>
              </c:extLst>
              <c:f>(giab_comparaison_RENOME_V5_Hg19!$H$7:$H$11,giab_comparaison_RENOME_V5_Hg19!$H$13:$H$14)</c:f>
              <c:numCache>
                <c:formatCode>0.000_ </c:formatCode>
                <c:ptCount val="7"/>
                <c:pt idx="0">
                  <c:v>0.998106060606061</c:v>
                </c:pt>
                <c:pt idx="1">
                  <c:v>0.980446927374302</c:v>
                </c:pt>
                <c:pt idx="2">
                  <c:v>0.9906191369606</c:v>
                </c:pt>
                <c:pt idx="3">
                  <c:v>0.997150997150997</c:v>
                </c:pt>
                <c:pt idx="4">
                  <c:v>0.957388939256573</c:v>
                </c:pt>
                <c:pt idx="5">
                  <c:v>0.943699731903485</c:v>
                </c:pt>
                <c:pt idx="6">
                  <c:v>1</c:v>
                </c:pt>
              </c:numCache>
            </c:numRef>
          </c:val>
        </c:ser>
        <c:ser>
          <c:idx val="13"/>
          <c:order val="13"/>
          <c:tx>
            <c:strRef>
              <c:f>giab_comparaison_RENOME_V5_Hg19!$I$6</c:f>
              <c:strCache>
                <c:ptCount val="1"/>
                <c:pt idx="0">
                  <c:v>Sensitivity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giab_comparaison_RENOME_V5_Hg19!$I$7:$I$14</c15:sqref>
                  </c15:fullRef>
                </c:ext>
              </c:extLst>
              <c:f>(giab_comparaison_RENOME_V5_Hg19!$I$7:$I$11,giab_comparaison_RENOME_V5_Hg19!$I$13:$I$14)</c:f>
              <c:numCache>
                <c:formatCode>0.000_ </c:formatCode>
                <c:ptCount val="7"/>
                <c:pt idx="0">
                  <c:v>0.997161778618732</c:v>
                </c:pt>
                <c:pt idx="1">
                  <c:v>0.995274102079395</c:v>
                </c:pt>
                <c:pt idx="2">
                  <c:v>0.999053926206244</c:v>
                </c:pt>
                <c:pt idx="3">
                  <c:v>0.992438563327032</c:v>
                </c:pt>
                <c:pt idx="4">
                  <c:v>0.998109640831758</c:v>
                </c:pt>
                <c:pt idx="5">
                  <c:v>0.992481203007519</c:v>
                </c:pt>
                <c:pt idx="6">
                  <c:v>0.999048525214082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giab_comparaison_RENOME_V5_Hg19!$B$6</c15:sqref>
                        </c15:formulaRef>
                      </c:ext>
                    </c:extLst>
                    <c:strCache>
                      <c:ptCount val="1"/>
                      <c:pt idx="0">
                        <c:v>SNP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giab_comparaison_RENOME_V5_Hg19!$B$7:$B$14</c15:sqref>
                        </c15:fullRef>
                        <c15:formulaRef>
                          <c15:sqref>(giab_comparaison_RENOME_V5_Hg19!$B$7:$B$11,giab_comparaison_RENOME_V5_Hg19!$B$13:$B$14)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1056</c:v>
                      </c:pt>
                      <c:pt idx="1">
                        <c:v>1074</c:v>
                      </c:pt>
                      <c:pt idx="2">
                        <c:v>1066</c:v>
                      </c:pt>
                      <c:pt idx="3">
                        <c:v>1053</c:v>
                      </c:pt>
                      <c:pt idx="4">
                        <c:v>1103</c:v>
                      </c:pt>
                      <c:pt idx="5">
                        <c:v>1119</c:v>
                      </c:pt>
                      <c:pt idx="6">
                        <c:v>1050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giab_comparaison_RENOME_V5_Hg19!$C$6</c15:sqref>
                        </c15:formulaRef>
                      </c:ext>
                    </c:extLst>
                    <c:strCache>
                      <c:ptCount val="1"/>
                      <c:pt idx="0">
                        <c:v>indel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giab_comparaison_RENOME_V5_Hg19!$C$7:$C$14</c15:sqref>
                        </c15:fullRef>
                        <c15:formulaRef>
                          <c15:sqref>(giab_comparaison_RENOME_V5_Hg19!$C$7:$C$11,giab_comparaison_RENOME_V5_Hg19!$C$13:$C$14)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125</c:v>
                      </c:pt>
                      <c:pt idx="1">
                        <c:v>140</c:v>
                      </c:pt>
                      <c:pt idx="2">
                        <c:v>209</c:v>
                      </c:pt>
                      <c:pt idx="3">
                        <c:v>79</c:v>
                      </c:pt>
                      <c:pt idx="4">
                        <c:v>197</c:v>
                      </c:pt>
                      <c:pt idx="5">
                        <c:v>263</c:v>
                      </c:pt>
                      <c:pt idx="6">
                        <c:v>42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giab_comparaison_RENOME_V5_Hg19!$D$6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giab_comparaison_RENOME_V5_Hg19!$D$7:$D$14</c15:sqref>
                        </c15:fullRef>
                        <c15:formulaRef>
                          <c15:sqref>(giab_comparaison_RENOME_V5_Hg19!$D$7:$D$11,giab_comparaison_RENOME_V5_Hg19!$D$13:$D$14)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1181</c:v>
                      </c:pt>
                      <c:pt idx="1">
                        <c:v>1214</c:v>
                      </c:pt>
                      <c:pt idx="2">
                        <c:v>1275</c:v>
                      </c:pt>
                      <c:pt idx="3">
                        <c:v>1132</c:v>
                      </c:pt>
                      <c:pt idx="4">
                        <c:v>1300</c:v>
                      </c:pt>
                      <c:pt idx="5">
                        <c:v>1382</c:v>
                      </c:pt>
                      <c:pt idx="6">
                        <c:v>1092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giab_comparaison_RENOME_V5_Hg19!$E$6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giab_comparaison_RENOME_V5_Hg19!$E$7:$E$14</c15:sqref>
                        </c15:fullRef>
                        <c15:formulaRef>
                          <c15:sqref>(giab_comparaison_RENOME_V5_Hg19!$E$7:$E$11,giab_comparaison_RENOME_V5_Hg19!$E$13:$E$14)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1054</c:v>
                      </c:pt>
                      <c:pt idx="1">
                        <c:v>1053</c:v>
                      </c:pt>
                      <c:pt idx="2">
                        <c:v>1056</c:v>
                      </c:pt>
                      <c:pt idx="3">
                        <c:v>1050</c:v>
                      </c:pt>
                      <c:pt idx="4">
                        <c:v>1056</c:v>
                      </c:pt>
                      <c:pt idx="5">
                        <c:v>1056</c:v>
                      </c:pt>
                      <c:pt idx="6">
                        <c:v>1050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giab_comparaison_RENOME_V5_Hg19!$F$6</c15:sqref>
                        </c15:formulaRef>
                      </c:ext>
                    </c:extLst>
                    <c:strCache>
                      <c:ptCount val="1"/>
                      <c:pt idx="0">
                        <c:v>False Postive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giab_comparaison_RENOME_V5_Hg19!$F$7:$F$14</c15:sqref>
                        </c15:fullRef>
                        <c15:formulaRef>
                          <c15:sqref>(giab_comparaison_RENOME_V5_Hg19!$F$7:$F$11,giab_comparaison_RENOME_V5_Hg19!$F$13:$F$14)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21</c:v>
                      </c:pt>
                      <c:pt idx="2">
                        <c:v>10</c:v>
                      </c:pt>
                      <c:pt idx="3">
                        <c:v>3</c:v>
                      </c:pt>
                      <c:pt idx="4">
                        <c:v>47</c:v>
                      </c:pt>
                      <c:pt idx="5">
                        <c:v>63</c:v>
                      </c:pt>
                      <c:pt idx="6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giab_comparaison_RENOME_V5_Hg19!#REF!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giab_comparaison_RENOME_V5_Hg19!$G$6</c15:sqref>
                        </c15:formulaRef>
                      </c:ext>
                    </c:extLst>
                    <c:strCache>
                      <c:ptCount val="1"/>
                      <c:pt idx="0">
                        <c:v>False Negative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giab_comparaison_RENOME_V5_Hg19!$A$7:$A$14</c15:sqref>
                        </c15:fullRef>
                        <c15:formulaRef>
                          <c15:sqref>(giab_comparaison_RENOME_V5_Hg19!$A$7:$A$11,giab_comparaison_RENOME_V5_Hg19!$A$13:$A$14)</c15:sqref>
                        </c15:formulaRef>
                      </c:ext>
                    </c:extLst>
                    <c:strCache>
                      <c:ptCount val="7"/>
                      <c:pt idx="0">
                        <c:v>dragen-calling</c:v>
                      </c:pt>
                      <c:pt idx="1">
                        <c:v>freebayes</c:v>
                      </c:pt>
                      <c:pt idx="2">
                        <c:v>haplotypecaller4</c:v>
                      </c:pt>
                      <c:pt idx="3">
                        <c:v>samtools</c:v>
                      </c:pt>
                      <c:pt idx="4">
                        <c:v>unifiedgenotyper</c:v>
                      </c:pt>
                      <c:pt idx="5">
                        <c:v>at least 1 caller</c:v>
                      </c:pt>
                      <c:pt idx="6">
                        <c:v>all 5 callers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giab_comparaison_RENOME_V5_Hg19!$G$7:$G$14</c15:sqref>
                        </c15:fullRef>
                        <c15:formulaRef>
                          <c15:sqref>(giab_comparaison_RENOME_V5_Hg19!$G$7:$G$11,giab_comparaison_RENOME_V5_Hg19!$G$13:$G$14)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</c:v>
                      </c:pt>
                      <c:pt idx="1">
                        <c:v>5</c:v>
                      </c:pt>
                      <c:pt idx="2">
                        <c:v>1</c:v>
                      </c:pt>
                      <c:pt idx="3">
                        <c:v>8</c:v>
                      </c:pt>
                      <c:pt idx="4">
                        <c:v>2</c:v>
                      </c:pt>
                      <c:pt idx="5">
                        <c:v>8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aad7eb-4cc8-4ace-99d6-eaaefcc38a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giab_comparaison_RENOME_V5_Hg19!$H$7:$I$7</c:f>
              <c:numCache>
                <c:formatCode>0.000_ </c:formatCode>
                <c:ptCount val="2"/>
                <c:pt idx="0">
                  <c:v>0.998106060606061</c:v>
                </c:pt>
                <c:pt idx="1">
                  <c:v>0.997161778618732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giab_comparaison_RENOME_V5_Hg19!$H$9:$I$9</c:f>
              <c:numCache>
                <c:formatCode>0.000_ </c:formatCode>
                <c:ptCount val="2"/>
                <c:pt idx="0">
                  <c:v>0.9906191369606</c:v>
                </c:pt>
                <c:pt idx="1">
                  <c:v>0.999053926206244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giab_comparaison_RENOME_V5_Hg19!$H$8:$I$8</c:f>
              <c:numCache>
                <c:formatCode>0.000_ </c:formatCode>
                <c:ptCount val="2"/>
                <c:pt idx="0">
                  <c:v>0.980446927374302</c:v>
                </c:pt>
                <c:pt idx="1">
                  <c:v>0.995274102079395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giab_comparaison_RENOME_V5_Hg19!$H$10:$I$10</c:f>
              <c:numCache>
                <c:formatCode>0.000_ </c:formatCode>
                <c:ptCount val="2"/>
                <c:pt idx="0">
                  <c:v>0.997150997150997</c:v>
                </c:pt>
                <c:pt idx="1">
                  <c:v>0.992438563327032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giab_comparaison_RENOME_V5_Hg19!$H$11:$I$11</c:f>
              <c:numCache>
                <c:formatCode>0.000_ </c:formatCode>
                <c:ptCount val="2"/>
                <c:pt idx="0">
                  <c:v>0.957388939256573</c:v>
                </c:pt>
                <c:pt idx="1">
                  <c:v>0.998109640831758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giab_comparaison_RENOME_V5_Hg19!$H$13:$I$13</c:f>
              <c:numCache>
                <c:formatCode>0.000_ </c:formatCode>
                <c:ptCount val="2"/>
                <c:pt idx="0">
                  <c:v>0.943699731903485</c:v>
                </c:pt>
                <c:pt idx="1">
                  <c:v>0.992481203007519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giab_comparaison_RENOME_V5_Hg19!$H$6:$I$6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giab_comparaison_RENOME_V5_Hg19!$H$14:$I$14</c:f>
              <c:numCache>
                <c:formatCode>0.000_ </c:formatCode>
                <c:ptCount val="2"/>
                <c:pt idx="0">
                  <c:v>1</c:v>
                </c:pt>
                <c:pt idx="1">
                  <c:v>0.999048525214082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giab_comparaison_RENOME_V5_Hg19!$H$6:$I$6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giab_comparaison_RENOME_V5_Hg19!$H$12:$I$12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giab_comparaison_RENOME_V5_Hg19!$B$7:$D$7</c:f>
              <c:numCache>
                <c:formatCode>General</c:formatCode>
                <c:ptCount val="3"/>
                <c:pt idx="0">
                  <c:v>1056</c:v>
                </c:pt>
                <c:pt idx="1">
                  <c:v>125</c:v>
                </c:pt>
                <c:pt idx="2">
                  <c:v>1181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giab_comparaison_RENOME_V5_Hg19!$B$9:$D$9</c:f>
              <c:numCache>
                <c:formatCode>General</c:formatCode>
                <c:ptCount val="3"/>
                <c:pt idx="0">
                  <c:v>1066</c:v>
                </c:pt>
                <c:pt idx="1">
                  <c:v>209</c:v>
                </c:pt>
                <c:pt idx="2">
                  <c:v>1275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giab_comparaison_RENOME_V5_Hg19!$B$8:$D$8</c:f>
              <c:numCache>
                <c:formatCode>General</c:formatCode>
                <c:ptCount val="3"/>
                <c:pt idx="0">
                  <c:v>1074</c:v>
                </c:pt>
                <c:pt idx="1">
                  <c:v>140</c:v>
                </c:pt>
                <c:pt idx="2">
                  <c:v>1214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giab_comparaison_RENOME_V5_Hg19!$B$10:$D$10</c:f>
              <c:numCache>
                <c:formatCode>General</c:formatCode>
                <c:ptCount val="3"/>
                <c:pt idx="0">
                  <c:v>1053</c:v>
                </c:pt>
                <c:pt idx="1">
                  <c:v>79</c:v>
                </c:pt>
                <c:pt idx="2">
                  <c:v>1132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giab_comparaison_RENOME_V5_Hg19!$B$11:$D$11</c:f>
              <c:numCache>
                <c:formatCode>General</c:formatCode>
                <c:ptCount val="3"/>
                <c:pt idx="0">
                  <c:v>1103</c:v>
                </c:pt>
                <c:pt idx="1">
                  <c:v>197</c:v>
                </c:pt>
                <c:pt idx="2">
                  <c:v>1300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giab_comparaison_RENOME_V5_Hg19!$B$13:$D$13</c:f>
              <c:numCache>
                <c:formatCode>General</c:formatCode>
                <c:ptCount val="3"/>
                <c:pt idx="0">
                  <c:v>1119</c:v>
                </c:pt>
                <c:pt idx="1">
                  <c:v>263</c:v>
                </c:pt>
                <c:pt idx="2">
                  <c:v>1382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giab_comparaison_RENOME_V5_Hg19!$B$6:$D$6</c:f>
              <c:strCache>
                <c:ptCount val="3"/>
                <c:pt idx="0">
                  <c:v>SNP</c:v>
                </c:pt>
                <c:pt idx="1">
                  <c:v>indel</c:v>
                </c:pt>
                <c:pt idx="2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giab_comparaison_RENOME_V5_Hg19!$B$14:$D$14</c:f>
              <c:numCache>
                <c:formatCode>General</c:formatCode>
                <c:ptCount val="3"/>
                <c:pt idx="0">
                  <c:v>1050</c:v>
                </c:pt>
                <c:pt idx="1">
                  <c:v>42</c:v>
                </c:pt>
                <c:pt idx="2">
                  <c:v>1092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giab_comparaison_RENOME_V5_Hg19!$B$6:$D$6</c15:sqref>
                        </c15:formulaRef>
                      </c:ext>
                    </c:extLst>
                    <c:strCache>
                      <c:ptCount val="3"/>
                      <c:pt idx="0">
                        <c:v>SNP</c:v>
                      </c:pt>
                      <c:pt idx="1">
                        <c:v>indel</c:v>
                      </c:pt>
                      <c:pt idx="2">
                        <c:v>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giab_comparaison_RENOME_V5_Hg19!$B$12:$D$12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giab_comparaison_RENOME_V5_Hg19!$B$7:$I$7</c15:sqref>
                  </c15:fullRef>
                </c:ext>
              </c:extLst>
              <c:f>giab_comparaison_RENOME_V5_Hg19!$F$7:$G$7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giab_comparaison_RENOME_V5_Hg19!$B$9:$I$9</c15:sqref>
                  </c15:fullRef>
                </c:ext>
              </c:extLst>
              <c:f>giab_comparaison_RENOME_V5_Hg19!$F$9:$G$9</c:f>
              <c:numCache>
                <c:formatCode>General</c:formatCode>
                <c:ptCount val="2"/>
                <c:pt idx="0">
                  <c:v>10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giab_comparaison_RENOME_V5_Hg19!$B$8:$I$8</c15:sqref>
                  </c15:fullRef>
                </c:ext>
              </c:extLst>
              <c:f>giab_comparaison_RENOME_V5_Hg19!$F$8:$G$8</c:f>
              <c:numCache>
                <c:formatCode>General</c:formatCode>
                <c:ptCount val="2"/>
                <c:pt idx="0">
                  <c:v>21</c:v>
                </c:pt>
                <c:pt idx="1">
                  <c:v>5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giab_comparaison_RENOME_V5_Hg19!$B$10:$I$10</c15:sqref>
                  </c15:fullRef>
                </c:ext>
              </c:extLst>
              <c:f>giab_comparaison_RENOME_V5_Hg19!$F$10:$G$10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giab_comparaison_RENOME_V5_Hg19!$B$11:$I$11</c15:sqref>
                  </c15:fullRef>
                </c:ext>
              </c:extLst>
              <c:f>giab_comparaison_RENOME_V5_Hg19!$F$11:$G$11</c:f>
              <c:numCache>
                <c:formatCode>General</c:formatCode>
                <c:ptCount val="2"/>
                <c:pt idx="0">
                  <c:v>47</c:v>
                </c:pt>
                <c:pt idx="1">
                  <c:v>2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giab_comparaison_RENOME_V5_Hg19!$B$13:$I$13</c15:sqref>
                  </c15:fullRef>
                </c:ext>
              </c:extLst>
              <c:f>giab_comparaison_RENOME_V5_Hg19!$F$13:$G$13</c:f>
              <c:numCache>
                <c:formatCode>General</c:formatCode>
                <c:ptCount val="2"/>
                <c:pt idx="0">
                  <c:v>63</c:v>
                </c:pt>
                <c:pt idx="1">
                  <c:v>8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giab_comparaison_RENOME_V5_Hg19!$B$6:$I$6</c15:sqref>
                  </c15:fullRef>
                </c:ext>
              </c:extLst>
              <c:f>giab_comparaison_RENOME_V5_Hg19!$F$6:$G$6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giab_comparaison_RENOME_V5_Hg19!$B$14:$I$14</c15:sqref>
                  </c15:fullRef>
                </c:ext>
              </c:extLst>
              <c:f>giab_comparaison_RENOME_V5_Hg19!$F$14:$G$14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9682980"/>
        <c:axId val="32853397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giab_comparaison_RENOME_V5_Hg19!$B$6:$I$6</c15:sqref>
                        </c15:fullRef>
                        <c15:formulaRef>
                          <c15:sqref>giab_comparaison_RENOME_V5_Hg19!$F$6:$G$6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giab_comparaison_RENOME_V5_Hg19!$B$12:$I$12</c15:sqref>
                        </c15:fullRef>
                        <c15:formulaRef>
                          <c15:sqref>giab_comparaison_RENOME_V5_Hg19!$F$12:$G$12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596829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533971"/>
        <c:crosses val="autoZero"/>
        <c:auto val="1"/>
        <c:lblAlgn val="ctr"/>
        <c:lblOffset val="100"/>
        <c:noMultiLvlLbl val="0"/>
      </c:catAx>
      <c:valAx>
        <c:axId val="328533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29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b63101-fd30-4f84-b65e-42abe2e63b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giab_comparaison_RENOME_V5_Hg19!$J$7:$N$7</c:f>
              <c:numCache>
                <c:formatCode>General</c:formatCode>
                <c:ptCount val="5"/>
                <c:pt idx="0">
                  <c:v>122</c:v>
                </c:pt>
                <c:pt idx="1">
                  <c:v>3</c:v>
                </c:pt>
                <c:pt idx="2">
                  <c:v>6</c:v>
                </c:pt>
                <c:pt idx="3" c:formatCode="0.000_ ">
                  <c:v>0.976</c:v>
                </c:pt>
                <c:pt idx="4" c:formatCode="0.000_ ">
                  <c:v>0.953125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giab_comparaison_RENOME_V5_Hg19!$J$8:$N$8</c:f>
              <c:numCache>
                <c:formatCode>General</c:formatCode>
                <c:ptCount val="5"/>
                <c:pt idx="0">
                  <c:v>90</c:v>
                </c:pt>
                <c:pt idx="1">
                  <c:v>50</c:v>
                </c:pt>
                <c:pt idx="2">
                  <c:v>39</c:v>
                </c:pt>
                <c:pt idx="3" c:formatCode="0.000_ ">
                  <c:v>0.642857142857143</c:v>
                </c:pt>
                <c:pt idx="4" c:formatCode="0.000_ ">
                  <c:v>0.697674418604651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giab_comparaison_RENOME_V5_Hg19!$J$9:$N$9</c:f>
              <c:numCache>
                <c:formatCode>General</c:formatCode>
                <c:ptCount val="5"/>
                <c:pt idx="0">
                  <c:v>121</c:v>
                </c:pt>
                <c:pt idx="1">
                  <c:v>88</c:v>
                </c:pt>
                <c:pt idx="2">
                  <c:v>8</c:v>
                </c:pt>
                <c:pt idx="3" c:formatCode="0.000_ ">
                  <c:v>0.578947368421053</c:v>
                </c:pt>
                <c:pt idx="4" c:formatCode="0.000_ ">
                  <c:v>0.937984496124031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giab_comparaison_RENOME_V5_Hg19!$J$10:$N$10</c:f>
              <c:numCache>
                <c:formatCode>General</c:formatCode>
                <c:ptCount val="5"/>
                <c:pt idx="0">
                  <c:v>64</c:v>
                </c:pt>
                <c:pt idx="1">
                  <c:v>15</c:v>
                </c:pt>
                <c:pt idx="2">
                  <c:v>65</c:v>
                </c:pt>
                <c:pt idx="3" c:formatCode="0.000_ ">
                  <c:v>0.810126582278481</c:v>
                </c:pt>
                <c:pt idx="4" c:formatCode="0.000_ ">
                  <c:v>0.496124031007752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giab_comparaison_RENOME_V5_Hg19!$J$11:$N$11</c:f>
              <c:numCache>
                <c:formatCode>General</c:formatCode>
                <c:ptCount val="5"/>
                <c:pt idx="0">
                  <c:v>122</c:v>
                </c:pt>
                <c:pt idx="1">
                  <c:v>75</c:v>
                </c:pt>
                <c:pt idx="2">
                  <c:v>7</c:v>
                </c:pt>
                <c:pt idx="3" c:formatCode="0.000_ ">
                  <c:v>0.619289340101523</c:v>
                </c:pt>
                <c:pt idx="4" c:formatCode="0.000_ ">
                  <c:v>0.945736434108527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giab_comparaison_RENOME_V5_Hg19!$J$13:$N$13</c:f>
              <c:numCache>
                <c:formatCode>General</c:formatCode>
                <c:ptCount val="5"/>
                <c:pt idx="0">
                  <c:v>125</c:v>
                </c:pt>
                <c:pt idx="1">
                  <c:v>138</c:v>
                </c:pt>
                <c:pt idx="2">
                  <c:v>87</c:v>
                </c:pt>
                <c:pt idx="3" c:formatCode="0.000_ ">
                  <c:v>0.475285171102662</c:v>
                </c:pt>
                <c:pt idx="4" c:formatCode="0.000_ ">
                  <c:v>0.589622641509434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giab_comparaison_RENOME_V5_Hg19!$J$6:$N$6</c:f>
              <c:strCache>
                <c:ptCount val="5"/>
                <c:pt idx="0">
                  <c:v>True Positive</c:v>
                </c:pt>
                <c:pt idx="1">
                  <c:v>False Postive</c:v>
                </c:pt>
                <c:pt idx="2">
                  <c:v>False Negative</c:v>
                </c:pt>
                <c:pt idx="3">
                  <c:v>Accuracy</c:v>
                </c:pt>
                <c:pt idx="4">
                  <c:v>Sensitivity</c:v>
                </c:pt>
              </c:strCache>
            </c:strRef>
          </c:cat>
          <c:val>
            <c:numRef>
              <c:f>giab_comparaison_RENOME_V5_Hg19!$J$14:$N$14</c:f>
              <c:numCache>
                <c:formatCode>General</c:formatCode>
                <c:ptCount val="5"/>
                <c:pt idx="0">
                  <c:v>42</c:v>
                </c:pt>
                <c:pt idx="1">
                  <c:v>0</c:v>
                </c:pt>
                <c:pt idx="2">
                  <c:v>3</c:v>
                </c:pt>
                <c:pt idx="3" c:formatCode="0.000_ ">
                  <c:v>1</c:v>
                </c:pt>
                <c:pt idx="4" c:formatCode="0.000_ ">
                  <c:v>0.933333333333333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37338566"/>
        <c:axId val="375510875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giab_comparaison_RENOME_V5_Hg19!$J$6:$N$6</c15:sqref>
                        </c15:formulaRef>
                      </c:ext>
                    </c:extLst>
                    <c:strCache>
                      <c:ptCount val="5"/>
                      <c:pt idx="0">
                        <c:v>True Positive</c:v>
                      </c:pt>
                      <c:pt idx="1">
                        <c:v>False Postive</c:v>
                      </c:pt>
                      <c:pt idx="2">
                        <c:v>False Negative</c:v>
                      </c:pt>
                      <c:pt idx="3">
                        <c:v>Accuracy</c:v>
                      </c:pt>
                      <c:pt idx="4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giab_comparaison_RENOME_V5_Hg19!$J$12:$N$12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</c15:ser>
            </c15:filteredBarSeries>
          </c:ext>
        </c:extLst>
      </c:barChart>
      <c:catAx>
        <c:axId val="4373385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510875"/>
        <c:crosses val="autoZero"/>
        <c:auto val="1"/>
        <c:lblAlgn val="ctr"/>
        <c:lblOffset val="100"/>
        <c:noMultiLvlLbl val="0"/>
      </c:catAx>
      <c:valAx>
        <c:axId val="3755108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3385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5245d0-c662-46e0-8895-279715b46f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giab_comparaison_RENOME_V5_Hg19!$J$7:$N$7</c15:sqref>
                  </c15:fullRef>
                </c:ext>
              </c:extLst>
              <c:f>giab_comparaison_RENOME_V5_Hg19!$J$7</c:f>
              <c:numCache>
                <c:formatCode>General</c:formatCode>
                <c:ptCount val="1"/>
                <c:pt idx="0">
                  <c:v>122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giab_comparaison_RENOME_V5_Hg19!$J$8:$N$8</c15:sqref>
                  </c15:fullRef>
                </c:ext>
              </c:extLst>
              <c:f>giab_comparaison_RENOME_V5_Hg19!$J$8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giab_comparaison_RENOME_V5_Hg19!$J$9:$N$9</c15:sqref>
                  </c15:fullRef>
                </c:ext>
              </c:extLst>
              <c:f>giab_comparaison_RENOME_V5_Hg19!$J$9</c:f>
              <c:numCache>
                <c:formatCode>General</c:formatCode>
                <c:ptCount val="1"/>
                <c:pt idx="0">
                  <c:v>121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giab_comparaison_RENOME_V5_Hg19!$J$10:$N$10</c15:sqref>
                  </c15:fullRef>
                </c:ext>
              </c:extLst>
              <c:f>giab_comparaison_RENOME_V5_Hg19!$J$10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giab_comparaison_RENOME_V5_Hg19!$J$11:$N$11</c15:sqref>
                  </c15:fullRef>
                </c:ext>
              </c:extLst>
              <c:f>giab_comparaison_RENOME_V5_Hg19!$J$11</c:f>
              <c:numCache>
                <c:formatCode>General</c:formatCode>
                <c:ptCount val="1"/>
                <c:pt idx="0">
                  <c:v>122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giab_comparaison_RENOME_V5_Hg19!$J$13:$N$13</c15:sqref>
                  </c15:fullRef>
                </c:ext>
              </c:extLst>
              <c:f>giab_comparaison_RENOME_V5_Hg19!$J$13</c:f>
              <c:numCache>
                <c:formatCode>General</c:formatCode>
                <c:ptCount val="1"/>
                <c:pt idx="0">
                  <c:v>125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giab_comparaison_RENOME_V5_Hg19!$J$6</c:f>
              <c:strCache>
                <c:ptCount val="1"/>
                <c:pt idx="0">
                  <c:v>True Positive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giab_comparaison_RENOME_V5_Hg19!$J$14:$N$14</c15:sqref>
                  </c15:fullRef>
                </c:ext>
              </c:extLst>
              <c:f>giab_comparaison_RENOME_V5_Hg19!$J$14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37338566"/>
        <c:axId val="375510875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giab_comparaison_RENOME_V5_Hg19!$J$6:$N$6</c15:sqref>
                        </c15:fullRef>
                        <c15:formulaRef>
                          <c15:sqref>giab_comparaison_RENOME_V5_Hg19!$J$6</c15:sqref>
                        </c15:formulaRef>
                      </c:ext>
                    </c:extLst>
                    <c:strCache>
                      <c:ptCount val="1"/>
                      <c:pt idx="0">
                        <c:v>True Positive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giab_comparaison_RENOME_V5_Hg19!$J$12:$N$12</c15:sqref>
                        </c15:fullRef>
                        <c15:formulaRef>
                          <c15:sqref>giab_comparaison_RENOME_V5_Hg19!$J$12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</c15:ser>
            </c15:filteredBarSeries>
          </c:ext>
        </c:extLst>
      </c:barChart>
      <c:catAx>
        <c:axId val="4373385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510875"/>
        <c:crosses val="autoZero"/>
        <c:auto val="1"/>
        <c:lblAlgn val="ctr"/>
        <c:lblOffset val="100"/>
        <c:noMultiLvlLbl val="0"/>
      </c:catAx>
      <c:valAx>
        <c:axId val="3755108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3385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e603b1-2cc5-4567-b74c-f7ac9df9f7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giab_comparaison_RENOME_V5_Hg19!$J$7:$N$7</c15:sqref>
                  </c15:fullRef>
                </c:ext>
              </c:extLst>
              <c:f>giab_comparaison_RENOME_V5_Hg19!$K$7:$L$7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giab_comparaison_RENOME_V5_Hg19!$J$8:$N$8</c15:sqref>
                  </c15:fullRef>
                </c:ext>
              </c:extLst>
              <c:f>giab_comparaison_RENOME_V5_Hg19!$K$8:$L$8</c:f>
              <c:numCache>
                <c:formatCode>General</c:formatCode>
                <c:ptCount val="2"/>
                <c:pt idx="0">
                  <c:v>50</c:v>
                </c:pt>
                <c:pt idx="1">
                  <c:v>39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giab_comparaison_RENOME_V5_Hg19!$J$9:$N$9</c15:sqref>
                  </c15:fullRef>
                </c:ext>
              </c:extLst>
              <c:f>giab_comparaison_RENOME_V5_Hg19!$K$9:$L$9</c:f>
              <c:numCache>
                <c:formatCode>General</c:formatCode>
                <c:ptCount val="2"/>
                <c:pt idx="0">
                  <c:v>88</c:v>
                </c:pt>
                <c:pt idx="1">
                  <c:v>8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giab_comparaison_RENOME_V5_Hg19!$J$10:$N$10</c15:sqref>
                  </c15:fullRef>
                </c:ext>
              </c:extLst>
              <c:f>giab_comparaison_RENOME_V5_Hg19!$K$10:$L$10</c:f>
              <c:numCache>
                <c:formatCode>General</c:formatCode>
                <c:ptCount val="2"/>
                <c:pt idx="0">
                  <c:v>15</c:v>
                </c:pt>
                <c:pt idx="1">
                  <c:v>65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giab_comparaison_RENOME_V5_Hg19!$J$11:$N$11</c15:sqref>
                  </c15:fullRef>
                </c:ext>
              </c:extLst>
              <c:f>giab_comparaison_RENOME_V5_Hg19!$K$11:$L$11</c:f>
              <c:numCache>
                <c:formatCode>General</c:formatCode>
                <c:ptCount val="2"/>
                <c:pt idx="0">
                  <c:v>75</c:v>
                </c:pt>
                <c:pt idx="1">
                  <c:v>7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giab_comparaison_RENOME_V5_Hg19!$J$13:$N$13</c15:sqref>
                  </c15:fullRef>
                </c:ext>
              </c:extLst>
              <c:f>giab_comparaison_RENOME_V5_Hg19!$K$13:$L$13</c:f>
              <c:numCache>
                <c:formatCode>General</c:formatCode>
                <c:ptCount val="2"/>
                <c:pt idx="0">
                  <c:v>138</c:v>
                </c:pt>
                <c:pt idx="1">
                  <c:v>87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giab_comparaison_RENOME_V5_Hg19!$K$6:$L$6</c:f>
              <c:strCache>
                <c:ptCount val="2"/>
                <c:pt idx="0">
                  <c:v>False Postive</c:v>
                </c:pt>
                <c:pt idx="1">
                  <c:v>False 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giab_comparaison_RENOME_V5_Hg19!$J$14:$N$14</c15:sqref>
                  </c15:fullRef>
                </c:ext>
              </c:extLst>
              <c:f>giab_comparaison_RENOME_V5_Hg19!$K$14:$L$14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37338566"/>
        <c:axId val="375510875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giab_comparaison_RENOME_V5_Hg19!$J$6:$N$6</c15:sqref>
                        </c15:fullRef>
                        <c15:formulaRef>
                          <c15:sqref>giab_comparaison_RENOME_V5_Hg19!$K$6:$L$6</c15:sqref>
                        </c15:formulaRef>
                      </c:ext>
                    </c:extLst>
                    <c:strCache>
                      <c:ptCount val="2"/>
                      <c:pt idx="0">
                        <c:v>False Postive</c:v>
                      </c:pt>
                      <c:pt idx="1">
                        <c:v>False 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giab_comparaison_RENOME_V5_Hg19!$J$12:$N$12</c15:sqref>
                        </c15:fullRef>
                        <c15:formulaRef>
                          <c15:sqref>giab_comparaison_RENOME_V5_Hg19!$K$12:$L$12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4373385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510875"/>
        <c:crosses val="autoZero"/>
        <c:auto val="1"/>
        <c:lblAlgn val="ctr"/>
        <c:lblOffset val="100"/>
        <c:noMultiLvlLbl val="0"/>
      </c:catAx>
      <c:valAx>
        <c:axId val="3755108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3385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e603b1-2cc5-4567-b74c-f7ac9df9f7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giab_comparaison_RENOME_V5_Hg19!$A$7</c:f>
              <c:strCache>
                <c:ptCount val="1"/>
                <c:pt idx="0">
                  <c:v>dragen-calling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giab_comparaison_RENOME_V5_Hg19!$J$7:$N$7</c15:sqref>
                  </c15:fullRef>
                </c:ext>
              </c:extLst>
              <c:f>giab_comparaison_RENOME_V5_Hg19!$M$7:$N$7</c:f>
              <c:numCache>
                <c:formatCode>0.000_ </c:formatCode>
                <c:ptCount val="2"/>
                <c:pt idx="0">
                  <c:v>0.976</c:v>
                </c:pt>
                <c:pt idx="1">
                  <c:v>0.953125</c:v>
                </c:pt>
              </c:numCache>
            </c:numRef>
          </c:val>
        </c:ser>
        <c:ser>
          <c:idx val="1"/>
          <c:order val="1"/>
          <c:tx>
            <c:strRef>
              <c:f>giab_comparaison_RENOME_V5_Hg19!$A$8</c:f>
              <c:strCache>
                <c:ptCount val="1"/>
                <c:pt idx="0">
                  <c:v>freebayes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giab_comparaison_RENOME_V5_Hg19!$J$8:$N$8</c15:sqref>
                  </c15:fullRef>
                </c:ext>
              </c:extLst>
              <c:f>giab_comparaison_RENOME_V5_Hg19!$M$8:$N$8</c:f>
              <c:numCache>
                <c:formatCode>0.000_ </c:formatCode>
                <c:ptCount val="2"/>
                <c:pt idx="0">
                  <c:v>0.642857142857143</c:v>
                </c:pt>
                <c:pt idx="1">
                  <c:v>0.697674418604651</c:v>
                </c:pt>
              </c:numCache>
            </c:numRef>
          </c:val>
        </c:ser>
        <c:ser>
          <c:idx val="2"/>
          <c:order val="2"/>
          <c:tx>
            <c:strRef>
              <c:f>giab_comparaison_RENOME_V5_Hg19!$A$9</c:f>
              <c:strCache>
                <c:ptCount val="1"/>
                <c:pt idx="0">
                  <c:v>haplotypecaller4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giab_comparaison_RENOME_V5_Hg19!$J$9:$N$9</c15:sqref>
                  </c15:fullRef>
                </c:ext>
              </c:extLst>
              <c:f>giab_comparaison_RENOME_V5_Hg19!$M$9:$N$9</c:f>
              <c:numCache>
                <c:formatCode>0.000_ </c:formatCode>
                <c:ptCount val="2"/>
                <c:pt idx="0">
                  <c:v>0.578947368421053</c:v>
                </c:pt>
                <c:pt idx="1">
                  <c:v>0.937984496124031</c:v>
                </c:pt>
              </c:numCache>
            </c:numRef>
          </c:val>
        </c:ser>
        <c:ser>
          <c:idx val="3"/>
          <c:order val="3"/>
          <c:tx>
            <c:strRef>
              <c:f>giab_comparaison_RENOME_V5_Hg19!$A$10</c:f>
              <c:strCache>
                <c:ptCount val="1"/>
                <c:pt idx="0">
                  <c:v>samtools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giab_comparaison_RENOME_V5_Hg19!$J$10:$N$10</c15:sqref>
                  </c15:fullRef>
                </c:ext>
              </c:extLst>
              <c:f>giab_comparaison_RENOME_V5_Hg19!$M$10:$N$10</c:f>
              <c:numCache>
                <c:formatCode>0.000_ </c:formatCode>
                <c:ptCount val="2"/>
                <c:pt idx="0">
                  <c:v>0.810126582278481</c:v>
                </c:pt>
                <c:pt idx="1">
                  <c:v>0.496124031007752</c:v>
                </c:pt>
              </c:numCache>
            </c:numRef>
          </c:val>
        </c:ser>
        <c:ser>
          <c:idx val="4"/>
          <c:order val="4"/>
          <c:tx>
            <c:strRef>
              <c:f>giab_comparaison_RENOME_V5_Hg19!$A$11</c:f>
              <c:strCache>
                <c:ptCount val="1"/>
                <c:pt idx="0">
                  <c:v>unifiedgenotyper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giab_comparaison_RENOME_V5_Hg19!$J$11:$N$11</c15:sqref>
                  </c15:fullRef>
                </c:ext>
              </c:extLst>
              <c:f>giab_comparaison_RENOME_V5_Hg19!$M$11:$N$11</c:f>
              <c:numCache>
                <c:formatCode>0.000_ </c:formatCode>
                <c:ptCount val="2"/>
                <c:pt idx="0">
                  <c:v>0.619289340101523</c:v>
                </c:pt>
                <c:pt idx="1">
                  <c:v>0.945736434108527</c:v>
                </c:pt>
              </c:numCache>
            </c:numRef>
          </c:val>
        </c:ser>
        <c:ser>
          <c:idx val="6"/>
          <c:order val="6"/>
          <c:tx>
            <c:strRef>
              <c:f>giab_comparaison_RENOME_V5_Hg19!$A$13</c:f>
              <c:strCache>
                <c:ptCount val="1"/>
                <c:pt idx="0">
                  <c:v>at least 1 caller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giab_comparaison_RENOME_V5_Hg19!$J$13:$N$13</c15:sqref>
                  </c15:fullRef>
                </c:ext>
              </c:extLst>
              <c:f>giab_comparaison_RENOME_V5_Hg19!$M$13:$N$13</c:f>
              <c:numCache>
                <c:formatCode>0.000_ </c:formatCode>
                <c:ptCount val="2"/>
                <c:pt idx="0">
                  <c:v>0.475285171102662</c:v>
                </c:pt>
                <c:pt idx="1">
                  <c:v>0.589622641509434</c:v>
                </c:pt>
              </c:numCache>
            </c:numRef>
          </c:val>
        </c:ser>
        <c:ser>
          <c:idx val="7"/>
          <c:order val="7"/>
          <c:tx>
            <c:strRef>
              <c:f>giab_comparaison_RENOME_V5_Hg19!$A$14</c:f>
              <c:strCache>
                <c:ptCount val="1"/>
                <c:pt idx="0">
                  <c:v>all 5 callers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giab_comparaison_RENOME_V5_Hg19!$J$6:$N$6</c15:sqref>
                  </c15:fullRef>
                </c:ext>
              </c:extLst>
              <c:f>giab_comparaison_RENOME_V5_Hg19!$M$6:$N$6</c:f>
              <c:strCache>
                <c:ptCount val="2"/>
                <c:pt idx="0">
                  <c:v>Accuracy</c:v>
                </c:pt>
                <c:pt idx="1">
                  <c:v>Sensitivity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giab_comparaison_RENOME_V5_Hg19!$J$14:$N$14</c15:sqref>
                  </c15:fullRef>
                </c:ext>
              </c:extLst>
              <c:f>giab_comparaison_RENOME_V5_Hg19!$M$14:$N$14</c:f>
              <c:numCache>
                <c:formatCode>0.000_ </c:formatCode>
                <c:ptCount val="2"/>
                <c:pt idx="0">
                  <c:v>1</c:v>
                </c:pt>
                <c:pt idx="1">
                  <c:v>0.933333333333333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37338566"/>
        <c:axId val="375510875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giab_comparaison_RENOME_V5_Hg19!$A$12</c15:sqref>
                        </c15:formulaRef>
                      </c:ext>
                    </c:extLst>
                    <c:strCache>
                      <c:ptCount val="1"/>
                      <c:pt idx="0">
                        <c:v>Variant called by :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>giab_comparaison_RENOME_V5_Hg19!$J$6:$N$6</c15:sqref>
                        </c15:fullRef>
                        <c15:formulaRef>
                          <c15:sqref>giab_comparaison_RENOME_V5_Hg19!$M$6:$N$6</c15:sqref>
                        </c15:formulaRef>
                      </c:ext>
                    </c:extLst>
                    <c:strCache>
                      <c:ptCount val="2"/>
                      <c:pt idx="0">
                        <c:v>Accuracy</c:v>
                      </c:pt>
                      <c:pt idx="1">
                        <c:v>Sensitivity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giab_comparaison_RENOME_V5_Hg19!$J$12:$N$12</c15:sqref>
                        </c15:fullRef>
                        <c15:formulaRef>
                          <c15:sqref>giab_comparaison_RENOME_V5_Hg19!$M$12:$N$12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</c15:ser>
            </c15:filteredBarSeries>
          </c:ext>
        </c:extLst>
      </c:barChart>
      <c:catAx>
        <c:axId val="4373385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510875"/>
        <c:crosses val="autoZero"/>
        <c:auto val="1"/>
        <c:lblAlgn val="ctr"/>
        <c:lblOffset val="100"/>
        <c:noMultiLvlLbl val="0"/>
      </c:catAx>
      <c:valAx>
        <c:axId val="3755108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3385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e603b1-2cc5-4567-b74c-f7ac9df9f7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53340</xdr:colOff>
      <xdr:row>15</xdr:row>
      <xdr:rowOff>170815</xdr:rowOff>
    </xdr:from>
    <xdr:to>
      <xdr:col>6</xdr:col>
      <xdr:colOff>366395</xdr:colOff>
      <xdr:row>32</xdr:row>
      <xdr:rowOff>146050</xdr:rowOff>
    </xdr:to>
    <xdr:graphicFrame>
      <xdr:nvGraphicFramePr>
        <xdr:cNvPr id="3" name="Chart 2"/>
        <xdr:cNvGraphicFramePr/>
      </xdr:nvGraphicFramePr>
      <xdr:xfrm>
        <a:off x="53340" y="3353435"/>
        <a:ext cx="4567555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286385</xdr:colOff>
      <xdr:row>33</xdr:row>
      <xdr:rowOff>101600</xdr:rowOff>
    </xdr:from>
    <xdr:to>
      <xdr:col>8</xdr:col>
      <xdr:colOff>19685</xdr:colOff>
      <xdr:row>48</xdr:row>
      <xdr:rowOff>128270</xdr:rowOff>
    </xdr:to>
    <xdr:graphicFrame>
      <xdr:nvGraphicFramePr>
        <xdr:cNvPr id="5" name="Chart 4"/>
        <xdr:cNvGraphicFramePr/>
      </xdr:nvGraphicFramePr>
      <xdr:xfrm>
        <a:off x="4540885" y="6393180"/>
        <a:ext cx="1280160" cy="2617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629920</xdr:colOff>
      <xdr:row>16</xdr:row>
      <xdr:rowOff>68580</xdr:rowOff>
    </xdr:from>
    <xdr:to>
      <xdr:col>12</xdr:col>
      <xdr:colOff>32385</xdr:colOff>
      <xdr:row>33</xdr:row>
      <xdr:rowOff>43815</xdr:rowOff>
    </xdr:to>
    <xdr:graphicFrame>
      <xdr:nvGraphicFramePr>
        <xdr:cNvPr id="6" name="Chart 5"/>
        <xdr:cNvGraphicFramePr/>
      </xdr:nvGraphicFramePr>
      <xdr:xfrm>
        <a:off x="4157980" y="3423920"/>
        <a:ext cx="4581525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478155</xdr:colOff>
      <xdr:row>16</xdr:row>
      <xdr:rowOff>52070</xdr:rowOff>
    </xdr:from>
    <xdr:to>
      <xdr:col>21</xdr:col>
      <xdr:colOff>702945</xdr:colOff>
      <xdr:row>33</xdr:row>
      <xdr:rowOff>27305</xdr:rowOff>
    </xdr:to>
    <xdr:graphicFrame>
      <xdr:nvGraphicFramePr>
        <xdr:cNvPr id="7" name="Chart 6"/>
        <xdr:cNvGraphicFramePr/>
      </xdr:nvGraphicFramePr>
      <xdr:xfrm>
        <a:off x="11364595" y="3407410"/>
        <a:ext cx="4583430" cy="291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668655</xdr:colOff>
      <xdr:row>33</xdr:row>
      <xdr:rowOff>114300</xdr:rowOff>
    </xdr:from>
    <xdr:to>
      <xdr:col>13</xdr:col>
      <xdr:colOff>506730</xdr:colOff>
      <xdr:row>48</xdr:row>
      <xdr:rowOff>140970</xdr:rowOff>
    </xdr:to>
    <xdr:graphicFrame>
      <xdr:nvGraphicFramePr>
        <xdr:cNvPr id="10" name="Chart 9"/>
        <xdr:cNvGraphicFramePr/>
      </xdr:nvGraphicFramePr>
      <xdr:xfrm>
        <a:off x="7922895" y="6405880"/>
        <a:ext cx="2017395" cy="2617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56515</xdr:colOff>
      <xdr:row>33</xdr:row>
      <xdr:rowOff>73660</xdr:rowOff>
    </xdr:from>
    <xdr:to>
      <xdr:col>5</xdr:col>
      <xdr:colOff>269875</xdr:colOff>
      <xdr:row>48</xdr:row>
      <xdr:rowOff>100330</xdr:rowOff>
    </xdr:to>
    <xdr:graphicFrame>
      <xdr:nvGraphicFramePr>
        <xdr:cNvPr id="2" name="Chart 1"/>
        <xdr:cNvGraphicFramePr/>
      </xdr:nvGraphicFramePr>
      <xdr:xfrm>
        <a:off x="56515" y="6365240"/>
        <a:ext cx="3741420" cy="2617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57785</xdr:colOff>
      <xdr:row>33</xdr:row>
      <xdr:rowOff>103505</xdr:rowOff>
    </xdr:from>
    <xdr:to>
      <xdr:col>10</xdr:col>
      <xdr:colOff>622300</xdr:colOff>
      <xdr:row>48</xdr:row>
      <xdr:rowOff>130175</xdr:rowOff>
    </xdr:to>
    <xdr:graphicFrame>
      <xdr:nvGraphicFramePr>
        <xdr:cNvPr id="4" name="Chart 3"/>
        <xdr:cNvGraphicFramePr/>
      </xdr:nvGraphicFramePr>
      <xdr:xfrm>
        <a:off x="5859145" y="6395085"/>
        <a:ext cx="2017395" cy="2617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624840</xdr:colOff>
      <xdr:row>15</xdr:row>
      <xdr:rowOff>34290</xdr:rowOff>
    </xdr:from>
    <xdr:to>
      <xdr:col>30</xdr:col>
      <xdr:colOff>381000</xdr:colOff>
      <xdr:row>31</xdr:row>
      <xdr:rowOff>135890</xdr:rowOff>
    </xdr:to>
    <xdr:graphicFrame>
      <xdr:nvGraphicFramePr>
        <xdr:cNvPr id="9" name="Chart 8"/>
        <xdr:cNvGraphicFramePr/>
      </xdr:nvGraphicFramePr>
      <xdr:xfrm>
        <a:off x="17322800" y="3216910"/>
        <a:ext cx="4841240" cy="286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261620</xdr:colOff>
      <xdr:row>36</xdr:row>
      <xdr:rowOff>13970</xdr:rowOff>
    </xdr:from>
    <xdr:to>
      <xdr:col>19</xdr:col>
      <xdr:colOff>643255</xdr:colOff>
      <xdr:row>52</xdr:row>
      <xdr:rowOff>115570</xdr:rowOff>
    </xdr:to>
    <xdr:graphicFrame>
      <xdr:nvGraphicFramePr>
        <xdr:cNvPr id="14" name="Chart 13"/>
        <xdr:cNvGraphicFramePr/>
      </xdr:nvGraphicFramePr>
      <xdr:xfrm>
        <a:off x="12600940" y="6823710"/>
        <a:ext cx="1834515" cy="286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22225</xdr:colOff>
      <xdr:row>36</xdr:row>
      <xdr:rowOff>34290</xdr:rowOff>
    </xdr:from>
    <xdr:to>
      <xdr:col>23</xdr:col>
      <xdr:colOff>593725</xdr:colOff>
      <xdr:row>52</xdr:row>
      <xdr:rowOff>135255</xdr:rowOff>
    </xdr:to>
    <xdr:graphicFrame>
      <xdr:nvGraphicFramePr>
        <xdr:cNvPr id="15" name="Chart 14"/>
        <xdr:cNvGraphicFramePr/>
      </xdr:nvGraphicFramePr>
      <xdr:xfrm>
        <a:off x="14540865" y="6844030"/>
        <a:ext cx="2750820" cy="2864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615950</xdr:colOff>
      <xdr:row>36</xdr:row>
      <xdr:rowOff>14605</xdr:rowOff>
    </xdr:from>
    <xdr:to>
      <xdr:col>30</xdr:col>
      <xdr:colOff>116205</xdr:colOff>
      <xdr:row>52</xdr:row>
      <xdr:rowOff>24130</xdr:rowOff>
    </xdr:to>
    <xdr:graphicFrame>
      <xdr:nvGraphicFramePr>
        <xdr:cNvPr id="16" name="Chart 15"/>
        <xdr:cNvGraphicFramePr/>
      </xdr:nvGraphicFramePr>
      <xdr:xfrm>
        <a:off x="17313910" y="6824345"/>
        <a:ext cx="4585335" cy="277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="130" zoomScaleNormal="130" workbookViewId="0">
      <selection activeCell="A11" sqref="A11"/>
    </sheetView>
  </sheetViews>
  <sheetFormatPr defaultColWidth="11" defaultRowHeight="13.6"/>
  <cols>
    <col min="1" max="1" width="16.2884615384615" customWidth="1"/>
    <col min="2" max="4" width="8.71153846153846" customWidth="1"/>
    <col min="7" max="7" width="12.4230769230769" customWidth="1"/>
  </cols>
  <sheetData>
    <row r="1" ht="16.8" spans="1:4">
      <c r="A1" s="3" t="s">
        <v>0</v>
      </c>
      <c r="B1" s="3"/>
      <c r="C1" s="3"/>
      <c r="D1" s="3"/>
    </row>
    <row r="2" ht="16.8" spans="1:8">
      <c r="A2" s="3" t="s">
        <v>1</v>
      </c>
      <c r="B2" s="3"/>
      <c r="C2" s="3"/>
      <c r="D2" s="3"/>
      <c r="E2" s="32" t="s">
        <v>2</v>
      </c>
      <c r="H2" t="s">
        <v>3</v>
      </c>
    </row>
    <row r="3" ht="17.6" spans="1:8">
      <c r="A3" s="4" t="s">
        <v>4</v>
      </c>
      <c r="B3" s="4"/>
      <c r="C3" s="4"/>
      <c r="D3" s="4"/>
      <c r="E3" s="33" t="s">
        <v>5</v>
      </c>
      <c r="H3" t="s">
        <v>6</v>
      </c>
    </row>
    <row r="4" spans="1:4">
      <c r="A4" s="5" t="s">
        <v>7</v>
      </c>
      <c r="B4" s="5"/>
      <c r="C4" s="5"/>
      <c r="D4" s="5"/>
    </row>
    <row r="5" customFormat="1" spans="1:14">
      <c r="A5" s="5"/>
      <c r="B5" s="5"/>
      <c r="C5" s="5"/>
      <c r="D5" s="5"/>
      <c r="E5" s="34" t="s">
        <v>8</v>
      </c>
      <c r="F5" s="35"/>
      <c r="G5" s="35"/>
      <c r="H5" s="35"/>
      <c r="I5" s="48"/>
      <c r="J5" s="49" t="s">
        <v>9</v>
      </c>
      <c r="K5" s="50"/>
      <c r="L5" s="50"/>
      <c r="M5" s="50"/>
      <c r="N5" s="55"/>
    </row>
    <row r="6" s="1" customFormat="1" ht="28" spans="1:14">
      <c r="A6" s="6" t="s">
        <v>10</v>
      </c>
      <c r="B6" s="7" t="s">
        <v>8</v>
      </c>
      <c r="C6" s="8" t="s">
        <v>11</v>
      </c>
      <c r="D6" s="9" t="s">
        <v>12</v>
      </c>
      <c r="E6" s="8" t="s">
        <v>13</v>
      </c>
      <c r="F6" s="8" t="s">
        <v>14</v>
      </c>
      <c r="G6" s="9" t="s">
        <v>15</v>
      </c>
      <c r="H6" s="36" t="s">
        <v>16</v>
      </c>
      <c r="I6" s="51" t="s">
        <v>17</v>
      </c>
      <c r="J6" s="8" t="s">
        <v>13</v>
      </c>
      <c r="K6" s="8" t="s">
        <v>14</v>
      </c>
      <c r="L6" s="9" t="s">
        <v>15</v>
      </c>
      <c r="M6" s="56" t="s">
        <v>16</v>
      </c>
      <c r="N6" s="57" t="s">
        <v>17</v>
      </c>
    </row>
    <row r="7" spans="1:14">
      <c r="A7" s="10" t="s">
        <v>18</v>
      </c>
      <c r="B7" s="11">
        <v>1056</v>
      </c>
      <c r="C7" s="12">
        <v>125</v>
      </c>
      <c r="D7" s="12">
        <v>1181</v>
      </c>
      <c r="E7" s="37">
        <v>1054</v>
      </c>
      <c r="F7" s="38">
        <v>2</v>
      </c>
      <c r="G7" s="38">
        <v>3</v>
      </c>
      <c r="H7" s="39">
        <v>0.998106060606061</v>
      </c>
      <c r="I7" s="52">
        <v>0.997161778618732</v>
      </c>
      <c r="J7" s="37">
        <v>122</v>
      </c>
      <c r="K7" s="38">
        <v>3</v>
      </c>
      <c r="L7" s="38">
        <v>6</v>
      </c>
      <c r="M7" s="39">
        <v>0.976</v>
      </c>
      <c r="N7" s="52">
        <v>0.953125</v>
      </c>
    </row>
    <row r="8" spans="1:14">
      <c r="A8" s="10" t="s">
        <v>19</v>
      </c>
      <c r="B8" s="13">
        <v>1074</v>
      </c>
      <c r="C8" s="14">
        <v>140</v>
      </c>
      <c r="D8" s="14">
        <v>1214</v>
      </c>
      <c r="E8" s="40">
        <v>1053</v>
      </c>
      <c r="F8" s="41">
        <v>21</v>
      </c>
      <c r="G8" s="41">
        <v>5</v>
      </c>
      <c r="H8" s="42">
        <v>0.980446927374302</v>
      </c>
      <c r="I8" s="53">
        <v>0.995274102079395</v>
      </c>
      <c r="J8" s="40">
        <v>90</v>
      </c>
      <c r="K8" s="41">
        <v>50</v>
      </c>
      <c r="L8" s="41">
        <v>39</v>
      </c>
      <c r="M8" s="42">
        <v>0.642857142857143</v>
      </c>
      <c r="N8" s="53">
        <v>0.697674418604651</v>
      </c>
    </row>
    <row r="9" spans="1:14">
      <c r="A9" s="10" t="s">
        <v>20</v>
      </c>
      <c r="B9" s="13">
        <v>1066</v>
      </c>
      <c r="C9" s="14">
        <v>209</v>
      </c>
      <c r="D9" s="14">
        <v>1275</v>
      </c>
      <c r="E9" s="40">
        <v>1056</v>
      </c>
      <c r="F9" s="41">
        <v>10</v>
      </c>
      <c r="G9" s="41">
        <v>1</v>
      </c>
      <c r="H9" s="42">
        <v>0.9906191369606</v>
      </c>
      <c r="I9" s="53">
        <v>0.999053926206244</v>
      </c>
      <c r="J9" s="40">
        <v>121</v>
      </c>
      <c r="K9" s="41">
        <v>88</v>
      </c>
      <c r="L9" s="41">
        <v>8</v>
      </c>
      <c r="M9" s="42">
        <v>0.578947368421053</v>
      </c>
      <c r="N9" s="53">
        <v>0.937984496124031</v>
      </c>
    </row>
    <row r="10" spans="1:14">
      <c r="A10" s="10" t="s">
        <v>21</v>
      </c>
      <c r="B10" s="13">
        <v>1053</v>
      </c>
      <c r="C10" s="14">
        <v>79</v>
      </c>
      <c r="D10" s="14">
        <v>1132</v>
      </c>
      <c r="E10" s="40">
        <v>1050</v>
      </c>
      <c r="F10" s="41">
        <v>3</v>
      </c>
      <c r="G10" s="41">
        <v>8</v>
      </c>
      <c r="H10" s="42">
        <v>0.997150997150997</v>
      </c>
      <c r="I10" s="53">
        <v>0.992438563327032</v>
      </c>
      <c r="J10" s="40">
        <v>64</v>
      </c>
      <c r="K10" s="41">
        <v>15</v>
      </c>
      <c r="L10" s="41">
        <v>65</v>
      </c>
      <c r="M10" s="42">
        <v>0.810126582278481</v>
      </c>
      <c r="N10" s="53">
        <v>0.496124031007752</v>
      </c>
    </row>
    <row r="11" spans="1:14">
      <c r="A11" s="15" t="s">
        <v>22</v>
      </c>
      <c r="B11" s="16">
        <v>1103</v>
      </c>
      <c r="C11" s="17">
        <v>197</v>
      </c>
      <c r="D11" s="17">
        <v>1300</v>
      </c>
      <c r="E11" s="43">
        <v>1056</v>
      </c>
      <c r="F11" s="44">
        <v>47</v>
      </c>
      <c r="G11" s="44">
        <v>2</v>
      </c>
      <c r="H11" s="45">
        <v>0.957388939256573</v>
      </c>
      <c r="I11" s="54">
        <v>0.998109640831758</v>
      </c>
      <c r="J11" s="43">
        <v>122</v>
      </c>
      <c r="K11" s="44">
        <v>75</v>
      </c>
      <c r="L11" s="44">
        <v>7</v>
      </c>
      <c r="M11" s="45">
        <v>0.619289340101523</v>
      </c>
      <c r="N11" s="54">
        <v>0.945736434108527</v>
      </c>
    </row>
    <row r="12" s="2" customFormat="1" ht="18" customHeight="1" spans="1:14">
      <c r="A12" s="18" t="s">
        <v>23</v>
      </c>
      <c r="B12" s="19"/>
      <c r="C12" s="20"/>
      <c r="D12" s="21"/>
      <c r="E12" s="20"/>
      <c r="F12" s="20"/>
      <c r="G12" s="20"/>
      <c r="H12" s="46"/>
      <c r="I12" s="46"/>
      <c r="J12" s="20"/>
      <c r="K12" s="20"/>
      <c r="L12" s="20"/>
      <c r="M12" s="46"/>
      <c r="N12" s="46"/>
    </row>
    <row r="13" spans="1:14">
      <c r="A13" s="10" t="s">
        <v>24</v>
      </c>
      <c r="B13" s="22">
        <v>1119</v>
      </c>
      <c r="C13" s="23">
        <v>263</v>
      </c>
      <c r="D13" s="24">
        <v>1382</v>
      </c>
      <c r="E13" s="37">
        <v>1056</v>
      </c>
      <c r="F13" s="38">
        <v>63</v>
      </c>
      <c r="G13" s="38">
        <v>8</v>
      </c>
      <c r="H13" s="39">
        <v>0.943699731903485</v>
      </c>
      <c r="I13" s="52">
        <v>0.992481203007519</v>
      </c>
      <c r="J13" s="37">
        <v>125</v>
      </c>
      <c r="K13" s="38">
        <v>138</v>
      </c>
      <c r="L13" s="38">
        <v>87</v>
      </c>
      <c r="M13" s="39">
        <v>0.475285171102662</v>
      </c>
      <c r="N13" s="52">
        <v>0.589622641509434</v>
      </c>
    </row>
    <row r="14" spans="1:14">
      <c r="A14" s="10" t="s">
        <v>25</v>
      </c>
      <c r="B14" s="25">
        <v>1050</v>
      </c>
      <c r="C14" s="26">
        <v>42</v>
      </c>
      <c r="D14" s="27">
        <v>1092</v>
      </c>
      <c r="E14" s="43">
        <v>1050</v>
      </c>
      <c r="F14" s="44">
        <v>0</v>
      </c>
      <c r="G14" s="44">
        <v>1</v>
      </c>
      <c r="H14" s="45">
        <v>1</v>
      </c>
      <c r="I14" s="54">
        <v>0.999048525214082</v>
      </c>
      <c r="J14" s="43">
        <v>42</v>
      </c>
      <c r="K14" s="44">
        <v>0</v>
      </c>
      <c r="L14" s="44">
        <v>3</v>
      </c>
      <c r="M14" s="45">
        <v>1</v>
      </c>
      <c r="N14" s="54">
        <v>0.933333333333333</v>
      </c>
    </row>
    <row r="15" ht="31" spans="1:9">
      <c r="A15" s="28" t="s">
        <v>26</v>
      </c>
      <c r="B15" s="29">
        <v>1059</v>
      </c>
      <c r="C15" s="30">
        <v>129</v>
      </c>
      <c r="D15" s="31">
        <v>1188</v>
      </c>
      <c r="H15" s="47"/>
      <c r="I15" s="47"/>
    </row>
  </sheetData>
  <mergeCells count="8">
    <mergeCell ref="A1:D1"/>
    <mergeCell ref="A2:D2"/>
    <mergeCell ref="H2:I2"/>
    <mergeCell ref="A3:D3"/>
    <mergeCell ref="H3:I3"/>
    <mergeCell ref="A4:D4"/>
    <mergeCell ref="E5:I5"/>
    <mergeCell ref="J5:N5"/>
  </mergeCells>
  <conditionalFormatting sqref="E7:E11">
    <cfRule type="top10" dxfId="0" priority="32" bottom="1" rank="1"/>
    <cfRule type="top10" dxfId="1" priority="31" rank="1"/>
  </conditionalFormatting>
  <conditionalFormatting sqref="E13:E14">
    <cfRule type="top10" dxfId="0" priority="26" bottom="1" rank="1"/>
    <cfRule type="top10" dxfId="1" priority="25" rank="1"/>
  </conditionalFormatting>
  <conditionalFormatting sqref="F7:F11">
    <cfRule type="top10" dxfId="0" priority="30" rank="1"/>
    <cfRule type="top10" dxfId="1" priority="29" bottom="1" rank="1"/>
  </conditionalFormatting>
  <conditionalFormatting sqref="F13:F14">
    <cfRule type="top10" dxfId="0" priority="24" rank="1"/>
    <cfRule type="top10" dxfId="1" priority="23" bottom="1" rank="1"/>
  </conditionalFormatting>
  <conditionalFormatting sqref="G7:G11">
    <cfRule type="top10" dxfId="0" priority="28" rank="1"/>
    <cfRule type="top10" dxfId="1" priority="27" bottom="1" rank="1"/>
  </conditionalFormatting>
  <conditionalFormatting sqref="G13:G14">
    <cfRule type="top10" dxfId="0" priority="22" rank="1"/>
    <cfRule type="top10" dxfId="1" priority="21" bottom="1" rank="1"/>
  </conditionalFormatting>
  <conditionalFormatting sqref="H7:H11">
    <cfRule type="top10" dxfId="0" priority="40" bottom="1" rank="1"/>
    <cfRule type="top10" dxfId="1" priority="39" rank="1"/>
  </conditionalFormatting>
  <conditionalFormatting sqref="H13:H14">
    <cfRule type="top10" dxfId="0" priority="36" bottom="1" rank="1"/>
    <cfRule type="top10" dxfId="1" priority="35" rank="1"/>
  </conditionalFormatting>
  <conditionalFormatting sqref="I7:I11">
    <cfRule type="top10" dxfId="0" priority="38" bottom="1" rank="1"/>
    <cfRule type="top10" dxfId="1" priority="37" rank="1"/>
  </conditionalFormatting>
  <conditionalFormatting sqref="I13:I14">
    <cfRule type="top10" dxfId="0" priority="34" bottom="1" rank="1"/>
    <cfRule type="top10" dxfId="1" priority="33" rank="1"/>
  </conditionalFormatting>
  <conditionalFormatting sqref="J7:J11">
    <cfRule type="top10" dxfId="0" priority="12" bottom="1" rank="1"/>
    <cfRule type="top10" dxfId="1" priority="11" rank="1"/>
  </conditionalFormatting>
  <conditionalFormatting sqref="J13:J14">
    <cfRule type="top10" dxfId="0" priority="6" bottom="1" rank="1"/>
    <cfRule type="top10" dxfId="1" priority="5" rank="1"/>
  </conditionalFormatting>
  <conditionalFormatting sqref="K7:K11">
    <cfRule type="top10" dxfId="0" priority="10" rank="1"/>
    <cfRule type="top10" dxfId="1" priority="9" bottom="1" rank="1"/>
  </conditionalFormatting>
  <conditionalFormatting sqref="K13:K14">
    <cfRule type="top10" dxfId="0" priority="4" rank="1"/>
    <cfRule type="top10" dxfId="1" priority="3" bottom="1" rank="1"/>
  </conditionalFormatting>
  <conditionalFormatting sqref="L7:L11">
    <cfRule type="top10" dxfId="0" priority="8" rank="1"/>
    <cfRule type="top10" dxfId="1" priority="7" bottom="1" rank="1"/>
  </conditionalFormatting>
  <conditionalFormatting sqref="L13:L14">
    <cfRule type="top10" dxfId="0" priority="2" rank="1"/>
    <cfRule type="top10" dxfId="1" priority="1" bottom="1" rank="1"/>
  </conditionalFormatting>
  <conditionalFormatting sqref="M7:M11">
    <cfRule type="top10" dxfId="0" priority="20" bottom="1" rank="1"/>
    <cfRule type="top10" dxfId="1" priority="19" rank="1"/>
  </conditionalFormatting>
  <conditionalFormatting sqref="M13:M14">
    <cfRule type="top10" dxfId="0" priority="16" bottom="1" rank="1"/>
    <cfRule type="top10" dxfId="1" priority="15" rank="1"/>
  </conditionalFormatting>
  <conditionalFormatting sqref="N7:N11">
    <cfRule type="top10" dxfId="0" priority="18" bottom="1" rank="1"/>
    <cfRule type="top10" dxfId="1" priority="17" rank="1"/>
  </conditionalFormatting>
  <conditionalFormatting sqref="N13:N14">
    <cfRule type="top10" dxfId="0" priority="14" bottom="1" rank="1"/>
    <cfRule type="top10" dxfId="1" priority="13" rank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giab_comparaison_RENOME_V5_Hg19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Mélodie</cp:lastModifiedBy>
  <dcterms:created xsi:type="dcterms:W3CDTF">2025-02-11T00:50:00Z</dcterms:created>
  <dcterms:modified xsi:type="dcterms:W3CDTF">2025-07-01T17:29:35Z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72281155553D9714544BDD6752CBAE47_43</vt:lpwstr>
  </property>
  <property fmtid="{D5CDD505-2E9C-101B-9397-08002B2CF9AE}" pid="3" name="KSOProductBuildVer">
    <vt:lpwstr>1033-6.15.0.8733</vt:lpwstr>
  </property>
</Properties>
</file>