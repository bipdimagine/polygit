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apid_V4_Tub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<sst xmlns="http://schemas.openxmlformats.org/spreadsheetml/2006/main" count="33" uniqueCount="27">
  <si>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NGS2025_08679</t>
  </si>
  <si>
    <t>capture: Rapid_V4_TubeF_UMI</t>
  </si>
  <si>
    <t>best</t>
  </si>
  <si>
    <t>Accuracy = TP/(TP+FP)</t>
  </si>
  <si>
    <t>Alignment method: dragen-align</t>
  </si>
  <si>
    <t>worst</t>
  </si>
  <si>
    <t>Sensitivity = TP/(TP+FN)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</si>
  <si>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</si>
  <si>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</si>
  <si>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</si>
  <si>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</si>
  <si>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</si>
  <si>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</si>
  <si>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</si>
  <si>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</si>
  <si>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</si>
  <si>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</si>
  <si>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</si>
  <si>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</si>
  <si>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</si>
  <si>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</si>
  <si>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</si>
  <si>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</si>
  <si>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</si>
  <si>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</si>
  <si>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4 callers</t>
  </si>
  <si>
    <t>NIST GIAB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</si>
</sst>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30"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b/>
      <sz val="9"/>
      <color theme="6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9" tint="-0.249977111117893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20" applyNumberFormat="0" applyAlignment="0" applyProtection="0"/>
    <xf numFmtId="0" fontId="22" fillId="8" borderId="21" applyNumberFormat="0" applyAlignment="0" applyProtection="0"/>
    <xf numFmtId="0" fontId="23" fillId="8" borderId="20" applyNumberFormat="0" applyAlignment="0" applyProtection="0"/>
    <xf numFmtId="0" fontId="24" fillId="9" borderId="22" applyNumberFormat="0" applyAlignment="0" applyProtection="0"/>
    <xf numFmtId="0" fontId="25" fillId="0" borderId="23" applyNumberFormat="0" applyFill="0" applyAlignment="0" applyProtection="0"/>
    <xf numFmtId="0" fontId="4" fillId="0" borderId="24" applyNumberFormat="0" applyFill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8" fillId="12" borderId="0" applyNumberFormat="0" applyBorder="0" applyAlignment="0" applyProtection="0"/>
    <xf numFmtId="0" fontId="29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9" fillId="35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76" fontId="0" fillId="0" borderId="11" xfId="0" applyNumberFormat="1" applyFont="1" applyFill="1" applyBorder="1" applyAlignment="1">
      <alignment horizontal="center" vertical="center"/>
    </xf>
    <xf numFmtId="176" fontId="0" fillId="0" borderId="15" xfId="0" applyNumberFormat="1" applyFont="1" applyFill="1" applyBorder="1" applyAlignment="1">
      <alignment horizontal="center" vertical="center"/>
    </xf>
    <xf numFmtId="176" fontId="0" fillId="0" borderId="14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176" fontId="4" fillId="0" borderId="3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FBC5C5"/>
      <color rgb="00DDEBF7"/>
      <color rgb="0034ACF9"/>
      <color rgb="00843C0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giab_comparaison_Rapid_V4_TubeF!$B$7:$D$7</c:f>
              <c:numCache>
                <c:formatCode>General</c:formatCode>
                <c:ptCount val="3"/>
                <c:pt idx="0">
                  <c:v>648</c:v>
                </c:pt>
                <c:pt idx="1">
                  <c:v>77</c:v>
                </c:pt>
                <c:pt idx="2">
                  <c:v>725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giab_comparaison_Rapid_V4_TubeF!$B$8:$D$8</c:f>
              <c:numCache>
                <c:formatCode>General</c:formatCode>
                <c:ptCount val="3"/>
                <c:pt idx="0">
                  <c:v>657</c:v>
                </c:pt>
                <c:pt idx="1">
                  <c:v>73</c:v>
                </c:pt>
                <c:pt idx="2">
                  <c:v>730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giab_comparaison_Rapid_V4_TubeF!$B$9:$D$9</c:f>
              <c:numCache>
                <c:formatCode>General</c:formatCode>
                <c:ptCount val="3"/>
                <c:pt idx="0">
                  <c:v>649</c:v>
                </c:pt>
                <c:pt idx="1">
                  <c:v>88</c:v>
                </c:pt>
                <c:pt idx="2">
                  <c:v>737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giab_comparaison_Rapid_V4_TubeF!$B$10:$D$10</c:f>
              <c:numCache>
                <c:formatCode>General</c:formatCode>
                <c:ptCount val="3"/>
                <c:pt idx="0">
                  <c:v>647</c:v>
                </c:pt>
                <c:pt idx="1">
                  <c:v>41</c:v>
                </c:pt>
                <c:pt idx="2">
                  <c:v>688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giab_comparaison_Rapid_V4_TubeF!$B$11:$D$11</c:f>
              <c:numCache>
                <c:formatCode>General</c:formatCode>
                <c:ptCount val="3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giab_comparaison_Rapid_V4_TubeF!$B$13:$D$13</c:f>
              <c:numCache>
                <c:formatCode>General</c:formatCode>
                <c:ptCount val="3"/>
                <c:pt idx="0">
                  <c:v>675</c:v>
                </c:pt>
                <c:pt idx="1">
                  <c:v>114</c:v>
                </c:pt>
                <c:pt idx="2">
                  <c:v>789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rgbClr val="843C0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giab_comparaison_Rapid_V4_TubeF!$B$14:$D$14</c:f>
              <c:numCache>
                <c:formatCode>General</c:formatCode>
                <c:ptCount val="3"/>
                <c:pt idx="0">
                  <c:v>644</c:v>
                </c:pt>
                <c:pt idx="1">
                  <c:v>24</c:v>
                </c:pt>
                <c:pt idx="2">
                  <c:v>668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6866199"/>
        <c:axId val="80993236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giab_comparaison_Rapid_V4_TubeF!$B$6:$I$6</c15:sqref>
                        </c15:fullRef>
                        <c15:formulaRef>
                          <c15:sqref>giab_comparaison_Rapid_V4_TubeF!$B$6:$D$6</c15:sqref>
                        </c15:formulaRef>
                      </c:ext>
                    </c:extLst>
                    <c:strCache>
                      <c:ptCount val="3"/>
                      <c:pt idx="0">
                        <c:v>SNP</c:v>
                      </c:pt>
                      <c:pt idx="1">
                        <c:v>indel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giab_comparaison_Rapid_V4_TubeF!$B$12:$I$12</c15:sqref>
                        </c15:fullRef>
                        <c15:formulaRef>
                          <c15:sqref>giab_comparaison_Rapid_V4_TubeF!$B$12:$D$12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56866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3236"/>
        <c:crosses val="autoZero"/>
        <c:auto val="1"/>
        <c:lblAlgn val="ctr"/>
        <c:lblOffset val="100"/>
        <c:noMultiLvlLbl val="0"/>
      </c:catAx>
      <c:valAx>
        <c:axId val="80993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6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05a8ce-603a-4c52-b361-33911442c7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giab_comparaison_Rapid_V4_TubeF!$B$6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giab_comparaison_Rapid_V4_TubeF!$B$7:$B$15</c15:sqref>
                  </c15:fullRef>
                </c:ext>
              </c:extLst>
              <c:f>(giab_comparaison_Rapid_V4_TubeF!$B$7:$B$11,giab_comparaison_Rapid_V4_TubeF!$B$13:$B$14)</c:f>
              <c:numCache>
                <c:formatCode>General</c:formatCode>
                <c:ptCount val="7"/>
                <c:pt idx="0">
                  <c:v>648</c:v>
                </c:pt>
                <c:pt idx="1">
                  <c:v>657</c:v>
                </c:pt>
                <c:pt idx="2">
                  <c:v>649</c:v>
                </c:pt>
                <c:pt idx="3">
                  <c:v>647</c:v>
                </c:pt>
                <c:pt idx="5">
                  <c:v>675</c:v>
                </c:pt>
                <c:pt idx="6">
                  <c:v>644</c:v>
                </c:pt>
              </c:numCache>
            </c:numRef>
          </c:val>
        </c:ser>
        <c:ser>
          <c:idx val="2"/>
          <c:order val="1"/>
          <c:tx>
            <c:strRef>
              <c:f>giab_comparaison_Rapid_V4_TubeF!$C$6</c:f>
              <c:strCache>
                <c:ptCount val="1"/>
                <c:pt idx="0">
                  <c:v>indel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giab_comparaison_Rapid_V4_TubeF!$C$7:$C$15</c15:sqref>
                  </c15:fullRef>
                </c:ext>
              </c:extLst>
              <c:f>(giab_comparaison_Rapid_V4_TubeF!$C$7:$C$11,giab_comparaison_Rapid_V4_TubeF!$C$13:$C$14)</c:f>
              <c:numCache>
                <c:formatCode>General</c:formatCode>
                <c:ptCount val="7"/>
                <c:pt idx="0">
                  <c:v>77</c:v>
                </c:pt>
                <c:pt idx="1">
                  <c:v>73</c:v>
                </c:pt>
                <c:pt idx="2">
                  <c:v>88</c:v>
                </c:pt>
                <c:pt idx="3">
                  <c:v>41</c:v>
                </c:pt>
                <c:pt idx="5">
                  <c:v>114</c:v>
                </c:pt>
                <c:pt idx="6">
                  <c:v>24</c:v>
                </c:pt>
              </c:numCache>
            </c:numRef>
          </c:val>
        </c:ser>
        <c:ser>
          <c:idx val="3"/>
          <c:order val="2"/>
          <c:tx>
            <c:strRef>
              <c:f>giab_comparaison_Rapid_V4_TubeF!$D$6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giab_comparaison_Rapid_V4_TubeF!$A$7:$A$15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giab_comparaison_Rapid_V4_TubeF!$D$7:$D$15</c15:sqref>
                  </c15:fullRef>
                </c:ext>
              </c:extLst>
              <c:f>(giab_comparaison_Rapid_V4_TubeF!$D$7:$D$11,giab_comparaison_Rapid_V4_TubeF!$D$13:$D$14)</c:f>
              <c:numCache>
                <c:formatCode>General</c:formatCode>
                <c:ptCount val="7"/>
                <c:pt idx="0">
                  <c:v>725</c:v>
                </c:pt>
                <c:pt idx="1">
                  <c:v>730</c:v>
                </c:pt>
                <c:pt idx="2">
                  <c:v>737</c:v>
                </c:pt>
                <c:pt idx="3">
                  <c:v>688</c:v>
                </c:pt>
                <c:pt idx="5">
                  <c:v>789</c:v>
                </c:pt>
                <c:pt idx="6">
                  <c:v>668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giab_comparaison_Rapid_V4_TubeF!$E$7:$E$15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647</c:v>
                      </c:pt>
                      <c:pt idx="2">
                        <c:v>647</c:v>
                      </c:pt>
                      <c:pt idx="3">
                        <c:v>644</c:v>
                      </c:pt>
                      <c:pt idx="5">
                        <c:v>648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giab_comparaison_Rapid_V4_TubeF!$F$7:$F$15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</c:v>
                      </c:pt>
                      <c:pt idx="3">
                        <c:v>3</c:v>
                      </c:pt>
                      <c:pt idx="5">
                        <c:v>27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giab_comparaison_Rapid_V4_TubeF!$G$7:$G$15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5</c:v>
                      </c:pt>
                      <c:pt idx="5">
                        <c:v>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giab_comparaison_Rapid_V4_TubeF!$H$7:$H$15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0.984779299847793</c:v>
                      </c:pt>
                      <c:pt idx="2">
                        <c:v>0.996918335901387</c:v>
                      </c:pt>
                      <c:pt idx="3">
                        <c:v>0.995363214837713</c:v>
                      </c:pt>
                      <c:pt idx="5">
                        <c:v>0.96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giab_comparaison_Rapid_V4_TubeF!$A$7:$A$15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giab_comparaison_Rapid_V4_TubeF!$I$7:$I$15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0.993855606758833</c:v>
                      </c:pt>
                      <c:pt idx="2">
                        <c:v>0.998456790123457</c:v>
                      </c:pt>
                      <c:pt idx="3">
                        <c:v>0.992295839753467</c:v>
                      </c:pt>
                      <c:pt idx="5">
                        <c:v>0.989312977099237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e01acc-9c1f-4c3d-9754-b18da5edac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giab_comparaison_Rapid_V4_TubeF!$E$7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giab_comparaison_Rapid_V4_TubeF!$E$8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giab_comparaison_Rapid_V4_TubeF!$E$9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giab_comparaison_Rapid_V4_TubeF!$E$10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giab_comparaison_Rapid_V4_TubeF!$E$11</c:f>
              <c:numCache>
                <c:formatCode>General</c:formatCode>
                <c:ptCount val="1"/>
              </c:numCache>
            </c:numRef>
          </c:val>
        </c:ser>
        <c:ser>
          <c:idx val="5"/>
          <c:order val="5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giab_comparaison_Rapid_V4_TubeF!$E$13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</c:ser>
        <c:ser>
          <c:idx val="6"/>
          <c:order val="6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rgbClr val="843C0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giab_comparaison_Rapid_V4_TubeF!$E$14</c:f>
              <c:numCache>
                <c:formatCode>General</c:formatCode>
                <c:ptCount val="1"/>
                <c:pt idx="0">
                  <c:v>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6866199"/>
        <c:axId val="80993236"/>
      </c:barChart>
      <c:catAx>
        <c:axId val="56866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3236"/>
        <c:crosses val="autoZero"/>
        <c:auto val="1"/>
        <c:lblAlgn val="ctr"/>
        <c:lblOffset val="100"/>
        <c:noMultiLvlLbl val="0"/>
      </c:catAx>
      <c:valAx>
        <c:axId val="80993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6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3f43b2-484c-46fc-a941-da13599ea5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giab_comparaison_Rapid_V4_TubeF!$E$6</c:f>
              <c:strCache>
                <c:ptCount val="1"/>
                <c:pt idx="0">
                  <c:v>True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giab_comparaison_Rapid_V4_TubeF!$A$7:$A$14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giab_comparaison_Rapid_V4_TubeF!$E$7:$E$14</c15:sqref>
                  </c15:fullRef>
                </c:ext>
              </c:extLst>
              <c:f>(giab_comparaison_Rapid_V4_TubeF!$E$7:$E$11,giab_comparaison_Rapid_V4_TubeF!$E$13:$E$14)</c:f>
              <c:numCache>
                <c:formatCode>General</c:formatCode>
                <c:ptCount val="7"/>
                <c:pt idx="0">
                  <c:v>648</c:v>
                </c:pt>
                <c:pt idx="1">
                  <c:v>647</c:v>
                </c:pt>
                <c:pt idx="2">
                  <c:v>647</c:v>
                </c:pt>
                <c:pt idx="3">
                  <c:v>644</c:v>
                </c:pt>
                <c:pt idx="5">
                  <c:v>648</c:v>
                </c:pt>
                <c:pt idx="6">
                  <c:v>644</c:v>
                </c:pt>
              </c:numCache>
            </c:numRef>
          </c:val>
        </c:ser>
        <c:ser>
          <c:idx val="9"/>
          <c:order val="9"/>
          <c:tx>
            <c:strRef>
              <c:f>giab_comparaison_Rapid_V4_TubeF!$F$6</c:f>
              <c:strCache>
                <c:ptCount val="1"/>
                <c:pt idx="0">
                  <c:v>False Postive</c:v>
                </c:pt>
              </c:strCache>
            </c:strRef>
          </c:tx>
          <c:spPr>
            <a:solidFill>
              <a:srgbClr val="34ACF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giab_comparaison_Rapid_V4_TubeF!$A$7:$A$14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giab_comparaison_Rapid_V4_TubeF!$F$7:$F$14</c15:sqref>
                  </c15:fullRef>
                </c:ext>
              </c:extLst>
              <c:f>(giab_comparaison_Rapid_V4_TubeF!$F$7:$F$11,giab_comparaison_Rapid_V4_TubeF!$F$13:$F$14)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5">
                  <c:v>27</c:v>
                </c:pt>
                <c:pt idx="6">
                  <c:v>0</c:v>
                </c:pt>
              </c:numCache>
            </c:numRef>
          </c:val>
        </c:ser>
        <c:ser>
          <c:idx val="11"/>
          <c:order val="11"/>
          <c:tx>
            <c:strRef>
              <c:f>giab_comparaison_Rapid_V4_TubeF!$G$6</c:f>
              <c:strCache>
                <c:ptCount val="1"/>
                <c:pt idx="0">
                  <c:v>False Negative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giab_comparaison_Rapid_V4_TubeF!$A$7:$A$14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giab_comparaison_Rapid_V4_TubeF!$G$7:$G$14</c15:sqref>
                  </c15:fullRef>
                </c:ext>
              </c:extLst>
              <c:f>(giab_comparaison_Rapid_V4_TubeF!$G$7:$G$11,giab_comparaison_Rapid_V4_TubeF!$G$13:$G$14)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giab_comparaison_Rapid_V4_TubeF!$B$7:$B$14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657</c:v>
                      </c:pt>
                      <c:pt idx="2">
                        <c:v>649</c:v>
                      </c:pt>
                      <c:pt idx="3">
                        <c:v>647</c:v>
                      </c:pt>
                      <c:pt idx="5">
                        <c:v>675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giab_comparaison_Rapid_V4_TubeF!$C$7:$C$14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77</c:v>
                      </c:pt>
                      <c:pt idx="1">
                        <c:v>73</c:v>
                      </c:pt>
                      <c:pt idx="2">
                        <c:v>88</c:v>
                      </c:pt>
                      <c:pt idx="3">
                        <c:v>41</c:v>
                      </c:pt>
                      <c:pt idx="5">
                        <c:v>114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giab_comparaison_Rapid_V4_TubeF!$D$7:$D$14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725</c:v>
                      </c:pt>
                      <c:pt idx="1">
                        <c:v>730</c:v>
                      </c:pt>
                      <c:pt idx="2">
                        <c:v>737</c:v>
                      </c:pt>
                      <c:pt idx="3">
                        <c:v>688</c:v>
                      </c:pt>
                      <c:pt idx="5">
                        <c:v>789</c:v>
                      </c:pt>
                      <c:pt idx="6">
                        <c:v>668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giab_comparaison_Rapid_V4_TubeF!$H$6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giab_comparaison_Rapid_V4_TubeF!$H$7:$H$14</c15:sqref>
                        </c15:fullRef>
                        <c15:formulaRef>
                          <c15:sqref>(giab_comparaison_Rapid_V4_TubeF!$H$7:$H$11,giab_comparaison_Rapid_V4_TubeF!$H$13:$H$14)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0.984779299847793</c:v>
                      </c:pt>
                      <c:pt idx="2">
                        <c:v>0.996918335901387</c:v>
                      </c:pt>
                      <c:pt idx="3">
                        <c:v>0.995363214837713</c:v>
                      </c:pt>
                      <c:pt idx="5">
                        <c:v>0.96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giab_comparaison_Rapid_V4_TubeF!$I$6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giab_comparaison_Rapid_V4_TubeF!$I$7:$I$14</c15:sqref>
                        </c15:fullRef>
                        <c15:formulaRef>
                          <c15:sqref>(giab_comparaison_Rapid_V4_TubeF!$I$7:$I$11,giab_comparaison_Rapid_V4_TubeF!$I$13:$I$14)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1</c:v>
                      </c:pt>
                      <c:pt idx="1">
                        <c:v>0.993855606758833</c:v>
                      </c:pt>
                      <c:pt idx="2">
                        <c:v>0.998456790123457</c:v>
                      </c:pt>
                      <c:pt idx="3">
                        <c:v>0.992295839753467</c:v>
                      </c:pt>
                      <c:pt idx="5">
                        <c:v>0.989312977099237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2e6192-c088-4705-a38c-5b95aba512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giab_comparaison_Rapid_V4_TubeF!$H$6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giab_comparaison_Rapid_V4_TubeF!$A$7:$A$14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giab_comparaison_Rapid_V4_TubeF!$H$7:$H$14</c15:sqref>
                  </c15:fullRef>
                </c:ext>
              </c:extLst>
              <c:f>(giab_comparaison_Rapid_V4_TubeF!$H$7:$H$11,giab_comparaison_Rapid_V4_TubeF!$H$13:$H$14)</c:f>
              <c:numCache>
                <c:formatCode>0.000_ </c:formatCode>
                <c:ptCount val="7"/>
                <c:pt idx="0">
                  <c:v>1</c:v>
                </c:pt>
                <c:pt idx="1">
                  <c:v>0.984779299847793</c:v>
                </c:pt>
                <c:pt idx="2">
                  <c:v>0.996918335901387</c:v>
                </c:pt>
                <c:pt idx="3">
                  <c:v>0.995363214837713</c:v>
                </c:pt>
                <c:pt idx="5">
                  <c:v>0.96</c:v>
                </c:pt>
                <c:pt idx="6">
                  <c:v>1</c:v>
                </c:pt>
              </c:numCache>
            </c:numRef>
          </c:val>
        </c:ser>
        <c:ser>
          <c:idx val="13"/>
          <c:order val="13"/>
          <c:tx>
            <c:strRef>
              <c:f>giab_comparaison_Rapid_V4_TubeF!$I$6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giab_comparaison_Rapid_V4_TubeF!$A$7:$A$14</c15:sqref>
                  </c15:fullRef>
                </c:ext>
              </c:extLst>
              <c:f>(giab_comparaison_Rapid_V4_TubeF!$A$7:$A$11,giab_comparaison_Rapid_V4_TubeF!$A$13:$A$14)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4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giab_comparaison_Rapid_V4_TubeF!$I$7:$I$14</c15:sqref>
                  </c15:fullRef>
                </c:ext>
              </c:extLst>
              <c:f>(giab_comparaison_Rapid_V4_TubeF!$I$7:$I$11,giab_comparaison_Rapid_V4_TubeF!$I$13:$I$14)</c:f>
              <c:numCache>
                <c:formatCode>0.000_ </c:formatCode>
                <c:ptCount val="7"/>
                <c:pt idx="0">
                  <c:v>1</c:v>
                </c:pt>
                <c:pt idx="1">
                  <c:v>0.993855606758833</c:v>
                </c:pt>
                <c:pt idx="2">
                  <c:v>0.998456790123457</c:v>
                </c:pt>
                <c:pt idx="3">
                  <c:v>0.992295839753467</c:v>
                </c:pt>
                <c:pt idx="5">
                  <c:v>0.989312977099237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77882493"/>
        <c:axId val="6859513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giab_comparaison_Rapid_V4_TubeF!$B$6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giab_comparaison_Rapid_V4_TubeF!$B$7:$B$14</c15:sqref>
                        </c15:fullRef>
                        <c15:formulaRef>
                          <c15:sqref>(giab_comparaison_Rapid_V4_TubeF!$B$7:$B$11,giab_comparaison_Rapid_V4_TubeF!$B$13:$B$14)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657</c:v>
                      </c:pt>
                      <c:pt idx="2">
                        <c:v>649</c:v>
                      </c:pt>
                      <c:pt idx="3">
                        <c:v>647</c:v>
                      </c:pt>
                      <c:pt idx="5">
                        <c:v>675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giab_comparaison_Rapid_V4_TubeF!$C$6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giab_comparaison_Rapid_V4_TubeF!$C$7:$C$14</c15:sqref>
                        </c15:fullRef>
                        <c15:formulaRef>
                          <c15:sqref>(giab_comparaison_Rapid_V4_TubeF!$C$7:$C$11,giab_comparaison_Rapid_V4_TubeF!$C$13:$C$14)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77</c:v>
                      </c:pt>
                      <c:pt idx="1">
                        <c:v>73</c:v>
                      </c:pt>
                      <c:pt idx="2">
                        <c:v>88</c:v>
                      </c:pt>
                      <c:pt idx="3">
                        <c:v>41</c:v>
                      </c:pt>
                      <c:pt idx="5">
                        <c:v>114</c:v>
                      </c:pt>
                      <c:pt idx="6">
                        <c:v>24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giab_comparaison_Rapid_V4_TubeF!$D$7:$D$14</c15:sqref>
                        </c15:fullRef>
                        <c15:formulaRef>
                          <c15:sqref>(giab_comparaison_Rapid_V4_TubeF!$D$7:$D$11,giab_comparaison_Rapid_V4_TubeF!$D$13:$D$14)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725</c:v>
                      </c:pt>
                      <c:pt idx="1">
                        <c:v>730</c:v>
                      </c:pt>
                      <c:pt idx="2">
                        <c:v>737</c:v>
                      </c:pt>
                      <c:pt idx="3">
                        <c:v>688</c:v>
                      </c:pt>
                      <c:pt idx="5">
                        <c:v>789</c:v>
                      </c:pt>
                      <c:pt idx="6">
                        <c:v>668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giab_comparaison_Rapid_V4_TubeF!$E$6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giab_comparaison_Rapid_V4_TubeF!$E$7:$E$14</c15:sqref>
                        </c15:fullRef>
                        <c15:formulaRef>
                          <c15:sqref>(giab_comparaison_Rapid_V4_TubeF!$E$7:$E$11,giab_comparaison_Rapid_V4_TubeF!$E$13:$E$14)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648</c:v>
                      </c:pt>
                      <c:pt idx="1">
                        <c:v>647</c:v>
                      </c:pt>
                      <c:pt idx="2">
                        <c:v>647</c:v>
                      </c:pt>
                      <c:pt idx="3">
                        <c:v>644</c:v>
                      </c:pt>
                      <c:pt idx="5">
                        <c:v>648</c:v>
                      </c:pt>
                      <c:pt idx="6">
                        <c:v>644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giab_comparaison_Rapid_V4_TubeF!$F$6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giab_comparaison_Rapid_V4_TubeF!$F$7:$F$14</c15:sqref>
                        </c15:fullRef>
                        <c15:formulaRef>
                          <c15:sqref>(giab_comparaison_Rapid_V4_TubeF!$F$7:$F$11,giab_comparaison_Rapid_V4_TubeF!$F$13:$F$14)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</c:v>
                      </c:pt>
                      <c:pt idx="3">
                        <c:v>3</c:v>
                      </c:pt>
                      <c:pt idx="5">
                        <c:v>27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giab_comparaison_Rapid_V4_TubeF!#REF!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giab_comparaison_Rapid_V4_TubeF!$G$6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giab_comparaison_Rapid_V4_TubeF!$A$7:$A$14</c15:sqref>
                        </c15:fullRef>
                        <c15:formulaRef>
                          <c15:sqref>(giab_comparaison_Rapid_V4_TubeF!$A$7:$A$11,giab_comparaison_Rapid_V4_TubeF!$A$13:$A$14)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4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giab_comparaison_Rapid_V4_TubeF!$G$7:$G$14</c15:sqref>
                        </c15:fullRef>
                        <c15:formulaRef>
                          <c15:sqref>(giab_comparaison_Rapid_V4_TubeF!$G$7:$G$11,giab_comparaison_Rapid_V4_TubeF!$G$13:$G$14)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5</c:v>
                      </c:pt>
                      <c:pt idx="5">
                        <c:v>7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77882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951379"/>
        <c:crosses val="autoZero"/>
        <c:auto val="1"/>
        <c:lblAlgn val="ctr"/>
        <c:lblOffset val="100"/>
        <c:noMultiLvlLbl val="0"/>
      </c:catAx>
      <c:valAx>
        <c:axId val="6859513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882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a01552-eb5e-4299-9b08-79fac8646f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giab_comparaison_Rapid_V4_TubeF!$H$7:$I$7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giab_comparaison_Rapid_V4_TubeF!$H$8:$I$8</c:f>
              <c:numCache>
                <c:formatCode>0.000_ </c:formatCode>
                <c:ptCount val="2"/>
                <c:pt idx="0">
                  <c:v>0.984779299847793</c:v>
                </c:pt>
                <c:pt idx="1">
                  <c:v>0.993855606758833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giab_comparaison_Rapid_V4_TubeF!$H$9:$I$9</c:f>
              <c:numCache>
                <c:formatCode>0.000_ </c:formatCode>
                <c:ptCount val="2"/>
                <c:pt idx="0">
                  <c:v>0.996918335901387</c:v>
                </c:pt>
                <c:pt idx="1">
                  <c:v>0.998456790123457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giab_comparaison_Rapid_V4_TubeF!$H$10:$I$10</c:f>
              <c:numCache>
                <c:formatCode>0.000_ </c:formatCode>
                <c:ptCount val="2"/>
                <c:pt idx="0">
                  <c:v>0.995363214837713</c:v>
                </c:pt>
                <c:pt idx="1">
                  <c:v>0.992295839753467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giab_comparaison_Rapid_V4_TubeF!$H$11:$I$11</c:f>
              <c:numCache>
                <c:formatCode>General</c:formatCode>
                <c:ptCount val="2"/>
              </c:numCache>
            </c:numRef>
          </c:val>
        </c:ser>
        <c:ser>
          <c:idx val="5"/>
          <c:order val="5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giab_comparaison_Rapid_V4_TubeF!$H$13:$I$13</c:f>
              <c:numCache>
                <c:formatCode>0.000_ </c:formatCode>
                <c:ptCount val="2"/>
                <c:pt idx="0">
                  <c:v>0.96</c:v>
                </c:pt>
                <c:pt idx="1">
                  <c:v>0.989312977099237</c:v>
                </c:pt>
              </c:numCache>
            </c:numRef>
          </c:val>
        </c:ser>
        <c:ser>
          <c:idx val="6"/>
          <c:order val="6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rgbClr val="843C0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giab_comparaison_Rapid_V4_TubeF!$H$14:$I$14</c:f>
              <c:numCache>
                <c:formatCode>0.000_ 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6866199"/>
        <c:axId val="80993236"/>
      </c:barChart>
      <c:catAx>
        <c:axId val="56866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3236"/>
        <c:crosses val="autoZero"/>
        <c:auto val="1"/>
        <c:lblAlgn val="ctr"/>
        <c:lblOffset val="100"/>
        <c:noMultiLvlLbl val="0"/>
      </c:catAx>
      <c:valAx>
        <c:axId val="80993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6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e05a8ce-603a-4c52-b361-33911442c7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giab_comparaison_Rapid_V4_TubeF!$B$7:$I$7</c15:sqref>
                  </c15:fullRef>
                </c:ext>
              </c:extLst>
              <c:f>giab_comparaison_Rapid_V4_TubeF!$F$7:$G$7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giab_comparaison_Rapid_V4_TubeF!$B$8:$I$8</c15:sqref>
                  </c15:fullRef>
                </c:ext>
              </c:extLst>
              <c:f>giab_comparaison_Rapid_V4_TubeF!$F$8:$G$8</c:f>
              <c:numCache>
                <c:formatCode>General</c:formatCode>
                <c:ptCount val="2"/>
                <c:pt idx="0">
                  <c:v>10</c:v>
                </c:pt>
                <c:pt idx="1">
                  <c:v>4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giab_comparaison_Rapid_V4_TubeF!$B$9:$I$9</c15:sqref>
                  </c15:fullRef>
                </c:ext>
              </c:extLst>
              <c:f>giab_comparaison_Rapid_V4_TubeF!$F$9:$G$9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giab_comparaison_Rapid_V4_TubeF!$B$10:$I$10</c15:sqref>
                  </c15:fullRef>
                </c:ext>
              </c:extLst>
              <c:f>giab_comparaison_Rapid_V4_TubeF!$F$10:$G$10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giab_comparaison_Rapid_V4_TubeF!$B$11:$I$11</c15:sqref>
                  </c15:fullRef>
                </c:ext>
              </c:extLst>
              <c:f>giab_comparaison_Rapid_V4_TubeF!$F$11:$G$11</c:f>
              <c:numCache>
                <c:formatCode>General</c:formatCode>
                <c:ptCount val="2"/>
              </c:numCache>
            </c:numRef>
          </c:val>
        </c:ser>
        <c:ser>
          <c:idx val="5"/>
          <c:order val="5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giab_comparaison_Rapid_V4_TubeF!$B$13:$I$13</c15:sqref>
                  </c15:fullRef>
                </c:ext>
              </c:extLst>
              <c:f>giab_comparaison_Rapid_V4_TubeF!$F$13:$G$13</c:f>
              <c:numCache>
                <c:formatCode>General</c:formatCode>
                <c:ptCount val="2"/>
                <c:pt idx="0">
                  <c:v>27</c:v>
                </c:pt>
                <c:pt idx="1">
                  <c:v>7</c:v>
                </c:pt>
              </c:numCache>
            </c:numRef>
          </c:val>
        </c:ser>
        <c:ser>
          <c:idx val="6"/>
          <c:order val="6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rgbClr val="843C0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giab_comparaison_Rapid_V4_TubeF!$B$6:$I$6</c15:sqref>
                  </c15:fullRef>
                </c:ext>
              </c:extLst>
              <c:f>giab_comparaison_Rapid_V4_TubeF!$F$6:$G$6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giab_comparaison_Rapid_V4_TubeF!$B$14:$I$14</c15:sqref>
                  </c15:fullRef>
                </c:ext>
              </c:extLst>
              <c:f>giab_comparaison_Rapid_V4_TubeF!$F$14:$G$14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6866199"/>
        <c:axId val="80993236"/>
      </c:barChart>
      <c:catAx>
        <c:axId val="56866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3236"/>
        <c:crosses val="autoZero"/>
        <c:auto val="1"/>
        <c:lblAlgn val="ctr"/>
        <c:lblOffset val="100"/>
        <c:noMultiLvlLbl val="0"/>
      </c:catAx>
      <c:valAx>
        <c:axId val="809932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66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3f43b2-484c-46fc-a941-da13599ea5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giab_comparaison_Rapid_V4_TubeF!$J$7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giab_comparaison_Rapid_V4_TubeF!$J$8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giab_comparaison_Rapid_V4_TubeF!$J$9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giab_comparaison_Rapid_V4_TubeF!$J$10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giab_comparaison_Rapid_V4_TubeF!$J$11</c:f>
              <c:numCache>
                <c:formatCode>General</c:formatCode>
                <c:ptCount val="1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giab_comparaison_Rapid_V4_TubeF!$J$13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giab_comparaison_Rapid_V4_TubeF!$J$14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giab_comparaison_Rapid_V4_TubeF!$J$6:$N$6</c15:sqref>
                        </c15:fullRef>
                        <c15:formulaRef>
                          <c15:sqref>giab_comparaison_Rapid_V4_TubeF!$J$6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giab_comparaison_Rapid_V4_TubeF!$J$12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281aa0-b425-445e-93f1-1ae57e7b39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giab_comparaison_Rapid_V4_TubeF!$K$7:$L$7</c:f>
              <c:numCache>
                <c:formatCode>General</c:formatCode>
                <c:ptCount val="2"/>
                <c:pt idx="0">
                  <c:v>13</c:v>
                </c:pt>
                <c:pt idx="1">
                  <c:v>6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giab_comparaison_Rapid_V4_TubeF!$K$8:$L$8</c:f>
              <c:numCache>
                <c:formatCode>General</c:formatCode>
                <c:ptCount val="2"/>
                <c:pt idx="0">
                  <c:v>27</c:v>
                </c:pt>
                <c:pt idx="1">
                  <c:v>26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giab_comparaison_Rapid_V4_TubeF!$K$9:$L$9</c:f>
              <c:numCache>
                <c:formatCode>General</c:formatCode>
                <c:ptCount val="2"/>
                <c:pt idx="0">
                  <c:v>26</c:v>
                </c:pt>
                <c:pt idx="1">
                  <c:v>9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giab_comparaison_Rapid_V4_TubeF!$K$10:$L$10</c:f>
              <c:numCache>
                <c:formatCode>General</c:formatCode>
                <c:ptCount val="2"/>
                <c:pt idx="0">
                  <c:v>3</c:v>
                </c:pt>
                <c:pt idx="1">
                  <c:v>33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giab_comparaison_Rapid_V4_TubeF!$K$11:$L$11</c:f>
              <c:numCache>
                <c:formatCode>General</c:formatCode>
                <c:ptCount val="2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giab_comparaison_Rapid_V4_TubeF!$K$13:$L$13</c:f>
              <c:numCache>
                <c:formatCode>General</c:formatCode>
                <c:ptCount val="2"/>
                <c:pt idx="0">
                  <c:v>50</c:v>
                </c:pt>
                <c:pt idx="1">
                  <c:v>49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giab_comparaison_Rapid_V4_TubeF!$K$14:$L$14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giab_comparaison_Rapid_V4_TubeF!$J$6:$N$6</c15:sqref>
                        </c15:fullRef>
                        <c15:formulaRef>
                          <c15:sqref>giab_comparaison_Rapid_V4_TubeF!$K$6:$L$6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giab_comparaison_Rapid_V4_TubeF!$K$12:$L$12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8ea68d-019b-4691-83b1-bd84aada0f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giab_comparaison_Rapid_V4_TubeF!$J$7:$N$7</c15:sqref>
                  </c15:fullRef>
                </c:ext>
              </c:extLst>
              <c:f>giab_comparaison_Rapid_V4_TubeF!$M$7:$N$7</c:f>
              <c:numCache>
                <c:formatCode>0.000_ </c:formatCode>
                <c:ptCount val="2"/>
                <c:pt idx="0">
                  <c:v>0.831168831168831</c:v>
                </c:pt>
                <c:pt idx="1">
                  <c:v>0.914285714285714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giab_comparaison_Rapid_V4_TubeF!$J$8:$N$8</c15:sqref>
                  </c15:fullRef>
                </c:ext>
              </c:extLst>
              <c:f>giab_comparaison_Rapid_V4_TubeF!$M$8:$N$8</c:f>
              <c:numCache>
                <c:formatCode>0.000_ </c:formatCode>
                <c:ptCount val="2"/>
                <c:pt idx="0">
                  <c:v>0.63013698630137</c:v>
                </c:pt>
                <c:pt idx="1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giab_comparaison_Rapid_V4_TubeF!$J$9:$N$9</c15:sqref>
                  </c15:fullRef>
                </c:ext>
              </c:extLst>
              <c:f>giab_comparaison_Rapid_V4_TubeF!$M$9:$N$9</c:f>
              <c:numCache>
                <c:formatCode>0.000_ </c:formatCode>
                <c:ptCount val="2"/>
                <c:pt idx="0">
                  <c:v>0.704545454545455</c:v>
                </c:pt>
                <c:pt idx="1">
                  <c:v>0.873239436619718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giab_comparaison_Rapid_V4_TubeF!$J$10:$N$10</c15:sqref>
                  </c15:fullRef>
                </c:ext>
              </c:extLst>
              <c:f>giab_comparaison_Rapid_V4_TubeF!$M$10:$N$10</c:f>
              <c:numCache>
                <c:formatCode>0.000_ </c:formatCode>
                <c:ptCount val="2"/>
                <c:pt idx="0">
                  <c:v>0.926829268292683</c:v>
                </c:pt>
                <c:pt idx="1">
                  <c:v>0.535211267605634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giab_comparaison_Rapid_V4_TubeF!$J$11:$N$11</c15:sqref>
                  </c15:fullRef>
                </c:ext>
              </c:extLst>
              <c:f>giab_comparaison_Rapid_V4_TubeF!$M$11:$N$11</c:f>
              <c:numCache>
                <c:formatCode>General</c:formatCode>
                <c:ptCount val="2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giab_comparaison_Rapid_V4_TubeF!$J$13:$N$13</c15:sqref>
                  </c15:fullRef>
                </c:ext>
              </c:extLst>
              <c:f>giab_comparaison_Rapid_V4_TubeF!$M$13:$N$13</c:f>
              <c:numCache>
                <c:formatCode>0.000_ </c:formatCode>
                <c:ptCount val="2"/>
                <c:pt idx="0">
                  <c:v>0.56140350877193</c:v>
                </c:pt>
                <c:pt idx="1">
                  <c:v>0.566371681415929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giab_comparaison_Rapid_V4_TubeF!$J$6:$N$6</c15:sqref>
                  </c15:fullRef>
                </c:ext>
              </c:extLst>
              <c:f>giab_comparaison_Rapid_V4_TubeF!$M$6:$N$6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giab_comparaison_Rapid_V4_TubeF!$J$14:$N$14</c15:sqref>
                  </c15:fullRef>
                </c:ext>
              </c:extLst>
              <c:f>giab_comparaison_Rapid_V4_TubeF!$M$14:$N$14</c:f>
              <c:numCache>
                <c:formatCode>0.000_ </c:formatCode>
                <c:ptCount val="2"/>
                <c:pt idx="0">
                  <c:v>0.958333333333333</c:v>
                </c:pt>
                <c:pt idx="1">
                  <c:v>0.793103448275862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giab_comparaison_Rapid_V4_TubeF!$A$12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giab_comparaison_Rapid_V4_TubeF!$J$6:$N$6</c15:sqref>
                        </c15:fullRef>
                        <c15:formulaRef>
                          <c15:sqref>giab_comparaison_Rapid_V4_TubeF!$M$6:$N$6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giab_comparaison_Rapid_V4_TubeF!$J$12:$N$12</c15:sqref>
                        </c15:fullRef>
                        <c15:formulaRef>
                          <c15:sqref>giab_comparaison_Rapid_V4_TubeF!$M$12:$N$12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22a0a2-046f-4146-ba03-90f542b54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giab_comparaison_Rapid_V4_TubeF!$A$7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giab_comparaison_Rapid_V4_TubeF!$J$7:$N$7</c:f>
              <c:numCache>
                <c:formatCode>General</c:formatCode>
                <c:ptCount val="5"/>
                <c:pt idx="0">
                  <c:v>64</c:v>
                </c:pt>
                <c:pt idx="1">
                  <c:v>13</c:v>
                </c:pt>
                <c:pt idx="2">
                  <c:v>6</c:v>
                </c:pt>
                <c:pt idx="3" c:formatCode="0.000_ ">
                  <c:v>0.831168831168831</c:v>
                </c:pt>
                <c:pt idx="4" c:formatCode="0.000_ ">
                  <c:v>0.914285714285714</c:v>
                </c:pt>
              </c:numCache>
            </c:numRef>
          </c:val>
        </c:ser>
        <c:ser>
          <c:idx val="1"/>
          <c:order val="1"/>
          <c:tx>
            <c:strRef>
              <c:f>giab_comparaison_Rapid_V4_TubeF!$A$8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giab_comparaison_Rapid_V4_TubeF!$J$8:$N$8</c:f>
              <c:numCache>
                <c:formatCode>General</c:formatCode>
                <c:ptCount val="5"/>
                <c:pt idx="0">
                  <c:v>46</c:v>
                </c:pt>
                <c:pt idx="1">
                  <c:v>27</c:v>
                </c:pt>
                <c:pt idx="2">
                  <c:v>26</c:v>
                </c:pt>
                <c:pt idx="3" c:formatCode="0.000_ ">
                  <c:v>0.63013698630137</c:v>
                </c:pt>
                <c:pt idx="4" c:formatCode="0.000_ ">
                  <c:v>0.638888888888889</c:v>
                </c:pt>
              </c:numCache>
            </c:numRef>
          </c:val>
        </c:ser>
        <c:ser>
          <c:idx val="2"/>
          <c:order val="2"/>
          <c:tx>
            <c:strRef>
              <c:f>giab_comparaison_Rapid_V4_TubeF!$A$9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giab_comparaison_Rapid_V4_TubeF!$J$9:$N$9</c:f>
              <c:numCache>
                <c:formatCode>General</c:formatCode>
                <c:ptCount val="5"/>
                <c:pt idx="0">
                  <c:v>62</c:v>
                </c:pt>
                <c:pt idx="1">
                  <c:v>26</c:v>
                </c:pt>
                <c:pt idx="2">
                  <c:v>9</c:v>
                </c:pt>
                <c:pt idx="3" c:formatCode="0.000_ ">
                  <c:v>0.704545454545455</c:v>
                </c:pt>
                <c:pt idx="4" c:formatCode="0.000_ ">
                  <c:v>0.873239436619718</c:v>
                </c:pt>
              </c:numCache>
            </c:numRef>
          </c:val>
        </c:ser>
        <c:ser>
          <c:idx val="3"/>
          <c:order val="3"/>
          <c:tx>
            <c:strRef>
              <c:f>giab_comparaison_Rapid_V4_TubeF!$A$10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giab_comparaison_Rapid_V4_TubeF!$J$10:$N$10</c:f>
              <c:numCache>
                <c:formatCode>General</c:formatCode>
                <c:ptCount val="5"/>
                <c:pt idx="0">
                  <c:v>38</c:v>
                </c:pt>
                <c:pt idx="1">
                  <c:v>3</c:v>
                </c:pt>
                <c:pt idx="2">
                  <c:v>33</c:v>
                </c:pt>
                <c:pt idx="3" c:formatCode="0.000_ ">
                  <c:v>0.926829268292683</c:v>
                </c:pt>
                <c:pt idx="4" c:formatCode="0.000_ ">
                  <c:v>0.535211267605634</c:v>
                </c:pt>
              </c:numCache>
            </c:numRef>
          </c:val>
        </c:ser>
        <c:ser>
          <c:idx val="4"/>
          <c:order val="4"/>
          <c:tx>
            <c:strRef>
              <c:f>giab_comparaison_Rapid_V4_TubeF!$A$11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giab_comparaison_Rapid_V4_TubeF!$J$11:$N$11</c:f>
              <c:numCache>
                <c:formatCode>General</c:formatCode>
                <c:ptCount val="5"/>
              </c:numCache>
            </c:numRef>
          </c:val>
        </c:ser>
        <c:ser>
          <c:idx val="5"/>
          <c:order val="5"/>
          <c:tx>
            <c:strRef>
              <c:f>giab_comparaison_Rapid_V4_TubeF!$A$12</c:f>
              <c:strCache>
                <c:ptCount val="1"/>
                <c:pt idx="0">
                  <c:v>Variant called by :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giab_comparaison_Rapid_V4_TubeF!$J$12:$N$12</c:f>
              <c:numCache>
                <c:formatCode>General</c:formatCode>
                <c:ptCount val="5"/>
              </c:numCache>
            </c:numRef>
          </c:val>
        </c:ser>
        <c:ser>
          <c:idx val="6"/>
          <c:order val="6"/>
          <c:tx>
            <c:strRef>
              <c:f>giab_comparaison_Rapid_V4_TubeF!$A$13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giab_comparaison_Rapid_V4_TubeF!$J$13:$N$13</c:f>
              <c:numCache>
                <c:formatCode>General</c:formatCode>
                <c:ptCount val="5"/>
                <c:pt idx="0">
                  <c:v>64</c:v>
                </c:pt>
                <c:pt idx="1">
                  <c:v>50</c:v>
                </c:pt>
                <c:pt idx="2">
                  <c:v>49</c:v>
                </c:pt>
                <c:pt idx="3" c:formatCode="0.000_ ">
                  <c:v>0.56140350877193</c:v>
                </c:pt>
                <c:pt idx="4" c:formatCode="0.000_ ">
                  <c:v>0.566371681415929</c:v>
                </c:pt>
              </c:numCache>
            </c:numRef>
          </c:val>
        </c:ser>
        <c:ser>
          <c:idx val="7"/>
          <c:order val="7"/>
          <c:tx>
            <c:strRef>
              <c:f>giab_comparaison_Rapid_V4_TubeF!$A$14</c:f>
              <c:strCache>
                <c:ptCount val="1"/>
                <c:pt idx="0">
                  <c:v>all 4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giab_comparaison_Rapid_V4_TubeF!$J$6:$N$6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giab_comparaison_Rapid_V4_TubeF!$J$14:$N$14</c:f>
              <c:numCache>
                <c:formatCode>General</c:formatCode>
                <c:ptCount val="5"/>
                <c:pt idx="0">
                  <c:v>23</c:v>
                </c:pt>
                <c:pt idx="1">
                  <c:v>1</c:v>
                </c:pt>
                <c:pt idx="2">
                  <c:v>6</c:v>
                </c:pt>
                <c:pt idx="3" c:formatCode="0.000_ ">
                  <c:v>0.958333333333333</c:v>
                </c:pt>
                <c:pt idx="4" c:formatCode="0.000_ ">
                  <c:v>0.793103448275862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2062332"/>
        <c:axId val="422471994"/>
      </c:barChart>
      <c:catAx>
        <c:axId val="6220623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471994"/>
        <c:crosses val="autoZero"/>
        <c:auto val="1"/>
        <c:lblAlgn val="ctr"/>
        <c:lblOffset val="100"/>
        <c:noMultiLvlLbl val="0"/>
      </c:catAx>
      <c:valAx>
        <c:axId val="42247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0623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5f7d83-8f52-4706-b61f-8463aacf8e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33</xdr:row>
      <xdr:rowOff>161925</xdr:rowOff>
    </xdr:from>
    <xdr:to>
      <xdr:col>6</xdr:col>
      <xdr:colOff>342265</xdr:colOff>
      <xdr:row>50</xdr:row>
      <xdr:rowOff>56515</xdr:rowOff>
    </xdr:to>
    <xdr:graphicFrame>
      <xdr:nvGraphicFramePr>
        <xdr:cNvPr id="4" name="Chart 3"/>
        <xdr:cNvGraphicFramePr/>
      </xdr:nvGraphicFramePr>
      <xdr:xfrm>
        <a:off x="12700" y="6207125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16</xdr:row>
      <xdr:rowOff>1905</xdr:rowOff>
    </xdr:from>
    <xdr:to>
      <xdr:col>6</xdr:col>
      <xdr:colOff>342265</xdr:colOff>
      <xdr:row>32</xdr:row>
      <xdr:rowOff>69215</xdr:rowOff>
    </xdr:to>
    <xdr:graphicFrame>
      <xdr:nvGraphicFramePr>
        <xdr:cNvPr id="7" name="Chart 6"/>
        <xdr:cNvGraphicFramePr/>
      </xdr:nvGraphicFramePr>
      <xdr:xfrm>
        <a:off x="12700" y="3110865"/>
        <a:ext cx="458406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449580</xdr:colOff>
      <xdr:row>34</xdr:row>
      <xdr:rowOff>13335</xdr:rowOff>
    </xdr:from>
    <xdr:to>
      <xdr:col>9</xdr:col>
      <xdr:colOff>206375</xdr:colOff>
      <xdr:row>50</xdr:row>
      <xdr:rowOff>74295</xdr:rowOff>
    </xdr:to>
    <xdr:graphicFrame>
      <xdr:nvGraphicFramePr>
        <xdr:cNvPr id="10" name="Chart 9"/>
        <xdr:cNvGraphicFramePr/>
      </xdr:nvGraphicFramePr>
      <xdr:xfrm>
        <a:off x="4704080" y="6231255"/>
        <a:ext cx="181102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460375</xdr:colOff>
      <xdr:row>16</xdr:row>
      <xdr:rowOff>0</xdr:rowOff>
    </xdr:from>
    <xdr:to>
      <xdr:col>13</xdr:col>
      <xdr:colOff>92710</xdr:colOff>
      <xdr:row>32</xdr:row>
      <xdr:rowOff>66675</xdr:rowOff>
    </xdr:to>
    <xdr:graphicFrame>
      <xdr:nvGraphicFramePr>
        <xdr:cNvPr id="14" name="Chart 13"/>
        <xdr:cNvGraphicFramePr/>
      </xdr:nvGraphicFramePr>
      <xdr:xfrm>
        <a:off x="4714875" y="3108960"/>
        <a:ext cx="4592320" cy="283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466725</xdr:colOff>
      <xdr:row>16</xdr:row>
      <xdr:rowOff>16510</xdr:rowOff>
    </xdr:from>
    <xdr:to>
      <xdr:col>19</xdr:col>
      <xdr:colOff>700405</xdr:colOff>
      <xdr:row>32</xdr:row>
      <xdr:rowOff>78740</xdr:rowOff>
    </xdr:to>
    <xdr:graphicFrame>
      <xdr:nvGraphicFramePr>
        <xdr:cNvPr id="17" name="Chart 16"/>
        <xdr:cNvGraphicFramePr/>
      </xdr:nvGraphicFramePr>
      <xdr:xfrm>
        <a:off x="9681210" y="3125470"/>
        <a:ext cx="4592320" cy="282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386080</xdr:colOff>
      <xdr:row>34</xdr:row>
      <xdr:rowOff>19050</xdr:rowOff>
    </xdr:from>
    <xdr:to>
      <xdr:col>18</xdr:col>
      <xdr:colOff>70485</xdr:colOff>
      <xdr:row>50</xdr:row>
      <xdr:rowOff>85725</xdr:rowOff>
    </xdr:to>
    <xdr:graphicFrame>
      <xdr:nvGraphicFramePr>
        <xdr:cNvPr id="2" name="Chart 1"/>
        <xdr:cNvGraphicFramePr/>
      </xdr:nvGraphicFramePr>
      <xdr:xfrm>
        <a:off x="9600565" y="6236970"/>
        <a:ext cx="3316605" cy="283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283210</xdr:colOff>
      <xdr:row>34</xdr:row>
      <xdr:rowOff>15875</xdr:rowOff>
    </xdr:from>
    <xdr:to>
      <xdr:col>13</xdr:col>
      <xdr:colOff>215900</xdr:colOff>
      <xdr:row>50</xdr:row>
      <xdr:rowOff>76835</xdr:rowOff>
    </xdr:to>
    <xdr:graphicFrame>
      <xdr:nvGraphicFramePr>
        <xdr:cNvPr id="3" name="Chart 2"/>
        <xdr:cNvGraphicFramePr/>
      </xdr:nvGraphicFramePr>
      <xdr:xfrm>
        <a:off x="6591935" y="6233795"/>
        <a:ext cx="2838450" cy="282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721360</xdr:colOff>
      <xdr:row>34</xdr:row>
      <xdr:rowOff>13970</xdr:rowOff>
    </xdr:from>
    <xdr:to>
      <xdr:col>23</xdr:col>
      <xdr:colOff>375285</xdr:colOff>
      <xdr:row>49</xdr:row>
      <xdr:rowOff>137795</xdr:rowOff>
    </xdr:to>
    <xdr:graphicFrame>
      <xdr:nvGraphicFramePr>
        <xdr:cNvPr id="5" name="Chart 4"/>
        <xdr:cNvGraphicFramePr/>
      </xdr:nvGraphicFramePr>
      <xdr:xfrm>
        <a:off x="15020925" y="6231890"/>
        <a:ext cx="1833245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4445</xdr:colOff>
      <xdr:row>34</xdr:row>
      <xdr:rowOff>4445</xdr:rowOff>
    </xdr:from>
    <xdr:to>
      <xdr:col>27</xdr:col>
      <xdr:colOff>572770</xdr:colOff>
      <xdr:row>49</xdr:row>
      <xdr:rowOff>127000</xdr:rowOff>
    </xdr:to>
    <xdr:graphicFrame>
      <xdr:nvGraphicFramePr>
        <xdr:cNvPr id="6" name="Chart 5"/>
        <xdr:cNvGraphicFramePr/>
      </xdr:nvGraphicFramePr>
      <xdr:xfrm>
        <a:off x="17209770" y="6222365"/>
        <a:ext cx="2747645" cy="271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15875</xdr:colOff>
      <xdr:row>34</xdr:row>
      <xdr:rowOff>22860</xdr:rowOff>
    </xdr:from>
    <xdr:to>
      <xdr:col>34</xdr:col>
      <xdr:colOff>239395</xdr:colOff>
      <xdr:row>49</xdr:row>
      <xdr:rowOff>146050</xdr:rowOff>
    </xdr:to>
    <xdr:graphicFrame>
      <xdr:nvGraphicFramePr>
        <xdr:cNvPr id="8" name="Chart 7"/>
        <xdr:cNvGraphicFramePr/>
      </xdr:nvGraphicFramePr>
      <xdr:xfrm>
        <a:off x="20126960" y="6240780"/>
        <a:ext cx="4582160" cy="2713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127000</xdr:colOff>
      <xdr:row>16</xdr:row>
      <xdr:rowOff>85090</xdr:rowOff>
    </xdr:from>
    <xdr:to>
      <xdr:col>30</xdr:col>
      <xdr:colOff>350520</xdr:colOff>
      <xdr:row>32</xdr:row>
      <xdr:rowOff>35560</xdr:rowOff>
    </xdr:to>
    <xdr:graphicFrame>
      <xdr:nvGraphicFramePr>
        <xdr:cNvPr id="9" name="Chart 8"/>
        <xdr:cNvGraphicFramePr/>
      </xdr:nvGraphicFramePr>
      <xdr:xfrm>
        <a:off x="17332325" y="3194050"/>
        <a:ext cx="4582160" cy="2713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27" zoomScaleNormal="127" workbookViewId="0">
      <selection activeCell="F14" sqref="F14"/>
    </sheetView>
  </sheetViews>
  <sheetFormatPr defaultColWidth="11" defaultRowHeight="13.6"/>
  <cols>
    <col min="1" max="1" width="16.2884615384615" customWidth="1"/>
    <col min="2" max="4" width="8.71153846153846" customWidth="1"/>
    <col min="7" max="7" width="12.4230769230769" customWidth="1"/>
    <col min="8" max="8" width="8.875" customWidth="1"/>
    <col min="9" max="9" width="9.80769230769231" customWidth="1"/>
  </cols>
  <sheetData>
    <row r="1" ht="16.8" spans="1:4">
      <c r="A1" s="3" t="s">
        <v>0</v>
      </c>
      <c r="B1" s="3"/>
      <c r="C1" s="3"/>
      <c r="D1" s="3"/>
    </row>
    <row r="2" ht="16.8" spans="1:8">
      <c r="A2" s="3" t="s">
        <v>1</v>
      </c>
      <c r="B2" s="3"/>
      <c r="C2" s="3"/>
      <c r="D2" s="3"/>
      <c r="E2" s="31" t="s">
        <v>2</v>
      </c>
      <c r="H2" t="s">
        <v>3</v>
      </c>
    </row>
    <row r="3" ht="17.6" spans="1:8">
      <c r="A3" s="4" t="s">
        <v>4</v>
      </c>
      <c r="B3" s="4"/>
      <c r="C3" s="4"/>
      <c r="D3" s="4"/>
      <c r="E3" s="32" t="s">
        <v>5</v>
      </c>
      <c r="H3" t="s">
        <v>6</v>
      </c>
    </row>
    <row r="4" spans="1:4">
      <c r="A4" s="5" t="s">
        <v>7</v>
      </c>
      <c r="B4" s="5"/>
      <c r="C4" s="5"/>
      <c r="D4" s="5"/>
    </row>
    <row r="5" spans="1:14">
      <c r="A5" s="6"/>
      <c r="B5" s="1"/>
      <c r="C5" s="1"/>
      <c r="D5" s="1"/>
      <c r="E5" s="33" t="s">
        <v>8</v>
      </c>
      <c r="F5" s="34"/>
      <c r="G5" s="34"/>
      <c r="H5" s="34"/>
      <c r="I5" s="46"/>
      <c r="J5" s="33" t="s">
        <v>9</v>
      </c>
      <c r="K5" s="34"/>
      <c r="L5" s="34"/>
      <c r="M5" s="34"/>
      <c r="N5" s="46"/>
    </row>
    <row r="6" customFormat="1" ht="28" spans="1:14">
      <c r="A6" s="7" t="s">
        <v>10</v>
      </c>
      <c r="B6" s="8" t="s">
        <v>8</v>
      </c>
      <c r="C6" s="9" t="s">
        <v>11</v>
      </c>
      <c r="D6" s="10" t="s">
        <v>12</v>
      </c>
      <c r="E6" s="9" t="s">
        <v>13</v>
      </c>
      <c r="F6" s="9" t="s">
        <v>14</v>
      </c>
      <c r="G6" s="10" t="s">
        <v>15</v>
      </c>
      <c r="H6" s="35" t="s">
        <v>16</v>
      </c>
      <c r="I6" s="47" t="s">
        <v>17</v>
      </c>
      <c r="J6" s="9" t="s">
        <v>13</v>
      </c>
      <c r="K6" s="9" t="s">
        <v>14</v>
      </c>
      <c r="L6" s="10" t="s">
        <v>15</v>
      </c>
      <c r="M6" s="35" t="s">
        <v>16</v>
      </c>
      <c r="N6" s="47" t="s">
        <v>17</v>
      </c>
    </row>
    <row r="7" s="1" customFormat="1" spans="1:14">
      <c r="A7" s="11" t="s">
        <v>18</v>
      </c>
      <c r="B7" s="12">
        <v>648</v>
      </c>
      <c r="C7" s="12">
        <v>77</v>
      </c>
      <c r="D7" s="12">
        <v>725</v>
      </c>
      <c r="E7" s="36">
        <v>648</v>
      </c>
      <c r="F7" s="37">
        <v>0</v>
      </c>
      <c r="G7" s="37">
        <v>0</v>
      </c>
      <c r="H7" s="38">
        <v>1</v>
      </c>
      <c r="I7" s="48">
        <v>1</v>
      </c>
      <c r="J7" s="36">
        <v>64</v>
      </c>
      <c r="K7" s="37">
        <v>13</v>
      </c>
      <c r="L7" s="37">
        <v>6</v>
      </c>
      <c r="M7" s="38">
        <v>0.831168831168831</v>
      </c>
      <c r="N7" s="48">
        <v>0.914285714285714</v>
      </c>
    </row>
    <row r="8" spans="1:14">
      <c r="A8" s="13" t="s">
        <v>19</v>
      </c>
      <c r="B8" s="12">
        <v>657</v>
      </c>
      <c r="C8" s="12">
        <v>73</v>
      </c>
      <c r="D8" s="12">
        <v>730</v>
      </c>
      <c r="E8" s="39">
        <v>647</v>
      </c>
      <c r="F8" s="40">
        <v>10</v>
      </c>
      <c r="G8" s="40">
        <v>4</v>
      </c>
      <c r="H8" s="41">
        <v>0.984779299847793</v>
      </c>
      <c r="I8" s="49">
        <v>0.993855606758833</v>
      </c>
      <c r="J8" s="39">
        <v>46</v>
      </c>
      <c r="K8" s="40">
        <v>27</v>
      </c>
      <c r="L8" s="40">
        <v>26</v>
      </c>
      <c r="M8" s="41">
        <v>0.63013698630137</v>
      </c>
      <c r="N8" s="49">
        <v>0.638888888888889</v>
      </c>
    </row>
    <row r="9" spans="1:14">
      <c r="A9" s="13" t="s">
        <v>20</v>
      </c>
      <c r="B9" s="12">
        <v>649</v>
      </c>
      <c r="C9" s="12">
        <v>88</v>
      </c>
      <c r="D9" s="12">
        <v>737</v>
      </c>
      <c r="E9" s="39">
        <v>647</v>
      </c>
      <c r="F9" s="40">
        <v>2</v>
      </c>
      <c r="G9" s="40">
        <v>1</v>
      </c>
      <c r="H9" s="41">
        <v>0.996918335901387</v>
      </c>
      <c r="I9" s="49">
        <v>0.998456790123457</v>
      </c>
      <c r="J9" s="39">
        <v>62</v>
      </c>
      <c r="K9" s="40">
        <v>26</v>
      </c>
      <c r="L9" s="40">
        <v>9</v>
      </c>
      <c r="M9" s="41">
        <v>0.704545454545455</v>
      </c>
      <c r="N9" s="49">
        <v>0.873239436619718</v>
      </c>
    </row>
    <row r="10" spans="1:14">
      <c r="A10" s="14" t="s">
        <v>21</v>
      </c>
      <c r="B10" s="12">
        <v>647</v>
      </c>
      <c r="C10" s="12">
        <v>41</v>
      </c>
      <c r="D10" s="12">
        <v>688</v>
      </c>
      <c r="E10" s="39">
        <v>644</v>
      </c>
      <c r="F10" s="40">
        <v>3</v>
      </c>
      <c r="G10" s="40">
        <v>5</v>
      </c>
      <c r="H10" s="41">
        <v>0.995363214837713</v>
      </c>
      <c r="I10" s="49">
        <v>0.992295839753467</v>
      </c>
      <c r="J10" s="39">
        <v>38</v>
      </c>
      <c r="K10" s="40">
        <v>3</v>
      </c>
      <c r="L10" s="40">
        <v>33</v>
      </c>
      <c r="M10" s="41">
        <v>0.926829268292683</v>
      </c>
      <c r="N10" s="49">
        <v>0.535211267605634</v>
      </c>
    </row>
    <row r="11" spans="1:14">
      <c r="A11" s="15" t="s">
        <v>22</v>
      </c>
      <c r="B11" s="12"/>
      <c r="C11" s="12"/>
      <c r="D11" s="12"/>
      <c r="E11" s="42"/>
      <c r="F11" s="43"/>
      <c r="G11" s="43"/>
      <c r="H11" s="44"/>
      <c r="I11" s="50"/>
      <c r="J11" s="42"/>
      <c r="K11" s="43"/>
      <c r="L11" s="43"/>
      <c r="M11" s="44"/>
      <c r="N11" s="50"/>
    </row>
    <row r="12" spans="1:14">
      <c r="A12" s="16" t="s">
        <v>23</v>
      </c>
      <c r="B12" s="17"/>
      <c r="C12" s="18"/>
      <c r="D12" s="18"/>
      <c r="E12" s="18"/>
      <c r="F12" s="18"/>
      <c r="G12" s="18"/>
      <c r="H12" s="45"/>
      <c r="I12" s="45"/>
      <c r="J12" s="51"/>
      <c r="K12" s="51"/>
      <c r="L12" s="51"/>
      <c r="M12" s="52"/>
      <c r="N12" s="52"/>
    </row>
    <row r="13" s="2" customFormat="1" spans="1:14">
      <c r="A13" s="19" t="s">
        <v>24</v>
      </c>
      <c r="B13" s="20">
        <v>675</v>
      </c>
      <c r="C13" s="21">
        <v>114</v>
      </c>
      <c r="D13" s="22">
        <v>789</v>
      </c>
      <c r="E13" s="36">
        <v>648</v>
      </c>
      <c r="F13" s="37">
        <v>27</v>
      </c>
      <c r="G13" s="37">
        <v>7</v>
      </c>
      <c r="H13" s="38">
        <v>0.96</v>
      </c>
      <c r="I13" s="48">
        <v>0.989312977099237</v>
      </c>
      <c r="J13" s="36">
        <v>64</v>
      </c>
      <c r="K13" s="37">
        <v>50</v>
      </c>
      <c r="L13" s="37">
        <v>49</v>
      </c>
      <c r="M13" s="38">
        <v>0.56140350877193</v>
      </c>
      <c r="N13" s="48">
        <v>0.566371681415929</v>
      </c>
    </row>
    <row r="14" spans="1:14">
      <c r="A14" s="23" t="s">
        <v>25</v>
      </c>
      <c r="B14" s="24">
        <v>644</v>
      </c>
      <c r="C14" s="25">
        <v>24</v>
      </c>
      <c r="D14" s="26">
        <v>668</v>
      </c>
      <c r="E14" s="42">
        <v>644</v>
      </c>
      <c r="F14" s="43">
        <v>0</v>
      </c>
      <c r="G14" s="43">
        <v>0</v>
      </c>
      <c r="H14" s="44">
        <v>1</v>
      </c>
      <c r="I14" s="50">
        <v>1</v>
      </c>
      <c r="J14" s="42">
        <v>23</v>
      </c>
      <c r="K14" s="43">
        <v>1</v>
      </c>
      <c r="L14" s="43">
        <v>6</v>
      </c>
      <c r="M14" s="44">
        <v>0.958333333333333</v>
      </c>
      <c r="N14" s="50">
        <v>0.793103448275862</v>
      </c>
    </row>
    <row r="15" ht="16" spans="1:14">
      <c r="A15" s="27" t="s">
        <v>26</v>
      </c>
      <c r="B15" s="28">
        <v>651</v>
      </c>
      <c r="C15" s="29">
        <v>73</v>
      </c>
      <c r="D15" s="30">
        <v>724</v>
      </c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8">
    <mergeCell ref="A1:D1"/>
    <mergeCell ref="A2:D2"/>
    <mergeCell ref="H2:I2"/>
    <mergeCell ref="A3:D3"/>
    <mergeCell ref="H3:I3"/>
    <mergeCell ref="A4:D4"/>
    <mergeCell ref="E5:I5"/>
    <mergeCell ref="J5:N5"/>
  </mergeCells>
  <conditionalFormatting sqref="E7:E11">
    <cfRule type="top10" dxfId="0" priority="32" bottom="1" rank="1"/>
    <cfRule type="top10" dxfId="1" priority="31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0" rank="1"/>
    <cfRule type="top10" dxfId="1" priority="29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28" rank="1"/>
    <cfRule type="top10" dxfId="1" priority="27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6" bottom="1" rank="1"/>
    <cfRule type="top10" dxfId="1" priority="35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34" bottom="1" rank="1"/>
    <cfRule type="top10" dxfId="1" priority="33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giab_comparaison_Rapid_V4_TubeF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2025-02-11T22:17:00Z</dcterms:created>
  <dcterms:modified xsi:type="dcterms:W3CDTF">2025-07-01T17:28:40Z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5D6702B6671042B969EFB6670913DEEA_42</vt:lpwstr>
  </property>
  <property fmtid="{D5CDD505-2E9C-101B-9397-08002B2CF9AE}" pid="3" name="KSOProductBuildVer">
    <vt:lpwstr>1033-6.15.0.8733</vt:lpwstr>
  </property>
</Properties>
</file>