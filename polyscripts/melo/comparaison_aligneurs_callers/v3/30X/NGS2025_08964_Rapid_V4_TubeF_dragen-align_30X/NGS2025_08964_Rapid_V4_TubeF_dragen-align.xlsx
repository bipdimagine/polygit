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800"/>
  </bookViews>
  <sheets>
    <sheet name="giab_comparaison_Rapid_V4_TubeF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<sst xmlns="http://schemas.openxmlformats.org/spreadsheetml/2006/main" count="33" uniqueCount="27">
  <si>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NGS2025_08964</t>
  </si>
  <si>
    <t>capture: Rapid_V4_TubeF</t>
  </si>
  <si>
    <t>best</t>
  </si>
  <si>
    <t>Accuracy = TP/(TP+FP)</t>
  </si>
  <si>
    <t>Alignment method: dragen-align</t>
  </si>
  <si>
    <t>worst</t>
  </si>
  <si>
    <t>Sensitivity = TP/(TP+FN)</t>
  </si>
  <si>
    <t>depth coverage ≥30 X</t>
  </si>
  <si>
    <t>SNP</t>
  </si>
  <si>
    <t>Indel</t>
  </si>
  <si>
    <t>Caller</t>
  </si>
  <si>
    <t>indel</t>
  </si>
  <si>
    <t>total</t>
  </si>
  <si>
    <t>True Positive</t>
  </si>
  <si>
    <t>False Postive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</si>
  <si>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</si>
  <si>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</si>
  <si>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</si>
  <si>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</si>
  <si>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</si>
  <si>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</si>
  <si>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</si>
  <si>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</si>
  <si>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 called by :</t>
  </si>
  <si>
    <t>at least 1 caller</t>
  </si>
  <si>
    <t>all 5 callers</t>
  </si>
  <si>
    <t>NIST GIAB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</si>
</sst>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</numFmts>
  <fonts count="30"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b/>
      <sz val="9"/>
      <color theme="9" tint="-0.499984740745262"/>
      <name val="Arial"/>
      <charset val="134"/>
    </font>
    <font>
      <sz val="9"/>
      <color theme="9" tint="-0.499984740745262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9" tint="-0.249977111117893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Arial"/>
      <charset val="134"/>
    </font>
    <font>
      <sz val="18"/>
      <color theme="3"/>
      <name val="Calibri Light"/>
      <charset val="134"/>
      <scheme val="major"/>
    </font>
    <font>
      <i/>
      <sz val="9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9"/>
      <color rgb="FF3F3F76"/>
      <name val="Arial"/>
      <charset val="134"/>
    </font>
    <font>
      <b/>
      <sz val="9"/>
      <color rgb="FF3F3F3F"/>
      <name val="Arial"/>
      <charset val="134"/>
    </font>
    <font>
      <b/>
      <sz val="9"/>
      <color rgb="FFFA7D00"/>
      <name val="Arial"/>
      <charset val="134"/>
    </font>
    <font>
      <b/>
      <sz val="9"/>
      <color theme="0"/>
      <name val="Arial"/>
      <charset val="134"/>
    </font>
    <font>
      <sz val="9"/>
      <color rgb="FFFA7D00"/>
      <name val="Arial"/>
      <charset val="134"/>
    </font>
    <font>
      <sz val="9"/>
      <color rgb="FF006100"/>
      <name val="Arial"/>
      <charset val="134"/>
    </font>
    <font>
      <sz val="9"/>
      <color rgb="FF9C0006"/>
      <name val="Arial"/>
      <charset val="134"/>
    </font>
    <font>
      <sz val="9"/>
      <color rgb="FF9C6500"/>
      <name val="Arial"/>
      <charset val="134"/>
    </font>
    <font>
      <sz val="9"/>
      <color theme="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7" applyNumberFormat="0" applyAlignment="0" applyProtection="0"/>
    <xf numFmtId="0" fontId="22" fillId="8" borderId="18" applyNumberFormat="0" applyAlignment="0" applyProtection="0"/>
    <xf numFmtId="0" fontId="23" fillId="8" borderId="17" applyNumberFormat="0" applyAlignment="0" applyProtection="0"/>
    <xf numFmtId="0" fontId="24" fillId="9" borderId="19" applyNumberFormat="0" applyAlignment="0" applyProtection="0"/>
    <xf numFmtId="0" fontId="25" fillId="0" borderId="20" applyNumberFormat="0" applyFill="0" applyAlignment="0" applyProtection="0"/>
    <xf numFmtId="0" fontId="4" fillId="0" borderId="21" applyNumberFormat="0" applyFill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0" fillId="4" borderId="0" applyNumberFormat="0" applyBorder="0" applyAlignment="0" applyProtection="0"/>
    <xf numFmtId="0" fontId="0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9" fillId="35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0" xfId="0" applyAlignment="1">
      <alignment horizontal="center"/>
    </xf>
    <xf numFmtId="0" fontId="4" fillId="5" borderId="0" xfId="0" applyFont="1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76" fontId="0" fillId="0" borderId="10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0" fillId="0" borderId="11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176" fontId="4" fillId="0" borderId="3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FBC5C5"/>
        </patternFill>
      </fill>
    </dxf>
    <dxf>
      <font>
        <b val="1"/>
        <i val="0"/>
      </font>
      <fill>
        <patternFill patternType="solid">
          <bgColor rgb="FFDDEBF7"/>
        </patternFill>
      </fill>
    </dxf>
  </dxfs>
  <tableStyles count="0" defaultTableStyle="TableStyleMedium2" defaultPivotStyle="PivotStyleLight16"/>
  <colors>
    <mruColors>
      <color rgb="00FFC5C5"/>
      <color rgb="009E48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giab_comparaison_Rapid_V4_TubeF!$B$6</c:f>
              <c:strCache>
                <c:ptCount val="1"/>
                <c:pt idx="0">
                  <c:v>SNP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giab_comparaison_Rapid_V4_TubeF!$B$7:$B$15</c15:sqref>
                  </c15:fullRef>
                </c:ext>
              </c:extLst>
              <c:f>(giab_comparaison_Rapid_V4_TubeF!$B$7:$B$11,giab_comparaison_Rapid_V4_TubeF!$B$13:$B$14)</c:f>
              <c:numCache>
                <c:formatCode>General</c:formatCode>
                <c:ptCount val="7"/>
                <c:pt idx="0">
                  <c:v>648</c:v>
                </c:pt>
                <c:pt idx="1">
                  <c:v>657</c:v>
                </c:pt>
                <c:pt idx="2">
                  <c:v>651</c:v>
                </c:pt>
                <c:pt idx="3">
                  <c:v>645</c:v>
                </c:pt>
                <c:pt idx="4">
                  <c:v>661</c:v>
                </c:pt>
                <c:pt idx="5">
                  <c:v>683</c:v>
                </c:pt>
                <c:pt idx="6">
                  <c:v>644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giab_comparaison_Rapid_V4_TubeF!$C$6</c:f>
              <c:strCache>
                <c:ptCount val="1"/>
                <c:pt idx="0">
                  <c:v>indel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giab_comparaison_Rapid_V4_TubeF!$C$7:$C$15</c15:sqref>
                  </c15:fullRef>
                </c:ext>
              </c:extLst>
              <c:f>(giab_comparaison_Rapid_V4_TubeF!$C$7:$C$11,giab_comparaison_Rapid_V4_TubeF!$C$13:$C$14)</c:f>
              <c:numCache>
                <c:formatCode>General</c:formatCode>
                <c:ptCount val="7"/>
                <c:pt idx="0">
                  <c:v>77</c:v>
                </c:pt>
                <c:pt idx="1">
                  <c:v>72</c:v>
                </c:pt>
                <c:pt idx="2">
                  <c:v>90</c:v>
                </c:pt>
                <c:pt idx="3">
                  <c:v>43</c:v>
                </c:pt>
                <c:pt idx="4">
                  <c:v>88</c:v>
                </c:pt>
                <c:pt idx="5">
                  <c:v>121</c:v>
                </c:pt>
                <c:pt idx="6">
                  <c:v>24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giab_comparaison_Rapid_V4_TubeF!$D$7:$D$15</c15:sqref>
                  </c15:fullRef>
                </c:ext>
              </c:extLst>
              <c:f>(giab_comparaison_Rapid_V4_TubeF!$D$7:$D$11,giab_comparaison_Rapid_V4_TubeF!$D$13:$D$14)</c:f>
              <c:numCache>
                <c:formatCode>General</c:formatCode>
                <c:ptCount val="7"/>
                <c:pt idx="0">
                  <c:v>725</c:v>
                </c:pt>
                <c:pt idx="1">
                  <c:v>729</c:v>
                </c:pt>
                <c:pt idx="2">
                  <c:v>741</c:v>
                </c:pt>
                <c:pt idx="3">
                  <c:v>688</c:v>
                </c:pt>
                <c:pt idx="4">
                  <c:v>749</c:v>
                </c:pt>
                <c:pt idx="5">
                  <c:v>804</c:v>
                </c:pt>
                <c:pt idx="6">
                  <c:v>668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giab_comparaison_Rapid_V4_TubeF!$E$7:$E$15</c15:sqref>
                        </c15:fullRef>
                        <c15:formulaRef>
                          <c15:sqref>(giab_comparaison_Rapid_V4_TubeF!$E$7:$E$11,giab_comparaison_Rapid_V4_TubeF!$E$13:$E$14)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647</c:v>
                      </c:pt>
                      <c:pt idx="2">
                        <c:v>647</c:v>
                      </c:pt>
                      <c:pt idx="3">
                        <c:v>644</c:v>
                      </c:pt>
                      <c:pt idx="4">
                        <c:v>647</c:v>
                      </c:pt>
                      <c:pt idx="5">
                        <c:v>648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giab_comparaison_Rapid_V4_TubeF!$F$6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giab_comparaison_Rapid_V4_TubeF!$F$7:$F$15</c15:sqref>
                        </c15:fullRef>
                        <c15:formulaRef>
                          <c15:sqref>(giab_comparaison_Rapid_V4_TubeF!$F$7:$F$11,giab_comparaison_Rapid_V4_TubeF!$F$13:$F$14)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4</c:v>
                      </c:pt>
                      <c:pt idx="3">
                        <c:v>1</c:v>
                      </c:pt>
                      <c:pt idx="4">
                        <c:v>14</c:v>
                      </c:pt>
                      <c:pt idx="5">
                        <c:v>35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giab_comparaison_Rapid_V4_TubeF!$G$7:$G$15</c15:sqref>
                        </c15:fullRef>
                        <c15:formulaRef>
                          <c15:sqref>(giab_comparaison_Rapid_V4_TubeF!$G$7:$G$11,giab_comparaison_Rapid_V4_TubeF!$G$13:$G$14)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4</c:v>
                      </c:pt>
                      <c:pt idx="2">
                        <c:v>1</c:v>
                      </c:pt>
                      <c:pt idx="3">
                        <c:v>5</c:v>
                      </c:pt>
                      <c:pt idx="4">
                        <c:v>1</c:v>
                      </c:pt>
                      <c:pt idx="5">
                        <c:v>7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giab_comparaison_Rapid_V4_TubeF!$H$6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giab_comparaison_Rapid_V4_TubeF!$H$7:$H$15</c15:sqref>
                        </c15:fullRef>
                        <c15:formulaRef>
                          <c15:sqref>(giab_comparaison_Rapid_V4_TubeF!$H$7:$H$11,giab_comparaison_Rapid_V4_TubeF!$H$13:$H$14)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0.984779299847793</c:v>
                      </c:pt>
                      <c:pt idx="2">
                        <c:v>0.993855606758833</c:v>
                      </c:pt>
                      <c:pt idx="3">
                        <c:v>0.998449612403101</c:v>
                      </c:pt>
                      <c:pt idx="4">
                        <c:v>0.978819969742814</c:v>
                      </c:pt>
                      <c:pt idx="5">
                        <c:v>0.948755490483163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giab_comparaison_Rapid_V4_TubeF!$I$6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giab_comparaison_Rapid_V4_TubeF!$I$7:$I$15</c15:sqref>
                        </c15:fullRef>
                        <c15:formulaRef>
                          <c15:sqref>(giab_comparaison_Rapid_V4_TubeF!$I$7:$I$11,giab_comparaison_Rapid_V4_TubeF!$I$13:$I$14)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0.993855606758833</c:v>
                      </c:pt>
                      <c:pt idx="2">
                        <c:v>0.998456790123457</c:v>
                      </c:pt>
                      <c:pt idx="3">
                        <c:v>0.992295839753467</c:v>
                      </c:pt>
                      <c:pt idx="4">
                        <c:v>0.998456790123457</c:v>
                      </c:pt>
                      <c:pt idx="5">
                        <c:v>0.989312977099237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giab_comparaison_Rapid_V4_TubeF!$B$7:$D$7</c:f>
              <c:numCache>
                <c:formatCode>General</c:formatCode>
                <c:ptCount val="3"/>
                <c:pt idx="0">
                  <c:v>648</c:v>
                </c:pt>
                <c:pt idx="1">
                  <c:v>77</c:v>
                </c:pt>
                <c:pt idx="2">
                  <c:v>725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giab_comparaison_Rapid_V4_TubeF!$B$8:$D$8</c:f>
              <c:numCache>
                <c:formatCode>General</c:formatCode>
                <c:ptCount val="3"/>
                <c:pt idx="0">
                  <c:v>657</c:v>
                </c:pt>
                <c:pt idx="1">
                  <c:v>72</c:v>
                </c:pt>
                <c:pt idx="2">
                  <c:v>729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giab_comparaison_Rapid_V4_TubeF!$B$9:$D$9</c:f>
              <c:numCache>
                <c:formatCode>General</c:formatCode>
                <c:ptCount val="3"/>
                <c:pt idx="0">
                  <c:v>651</c:v>
                </c:pt>
                <c:pt idx="1">
                  <c:v>90</c:v>
                </c:pt>
                <c:pt idx="2">
                  <c:v>741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giab_comparaison_Rapid_V4_TubeF!$B$10:$D$10</c:f>
              <c:numCache>
                <c:formatCode>General</c:formatCode>
                <c:ptCount val="3"/>
                <c:pt idx="0">
                  <c:v>645</c:v>
                </c:pt>
                <c:pt idx="1">
                  <c:v>43</c:v>
                </c:pt>
                <c:pt idx="2">
                  <c:v>688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giab_comparaison_Rapid_V4_TubeF!$B$11:$D$11</c:f>
              <c:numCache>
                <c:formatCode>General</c:formatCode>
                <c:ptCount val="3"/>
                <c:pt idx="0">
                  <c:v>661</c:v>
                </c:pt>
                <c:pt idx="1">
                  <c:v>88</c:v>
                </c:pt>
                <c:pt idx="2">
                  <c:v>749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giab_comparaison_Rapid_V4_TubeF!$B$13:$D$13</c:f>
              <c:numCache>
                <c:formatCode>General</c:formatCode>
                <c:ptCount val="3"/>
                <c:pt idx="0">
                  <c:v>683</c:v>
                </c:pt>
                <c:pt idx="1">
                  <c:v>121</c:v>
                </c:pt>
                <c:pt idx="2">
                  <c:v>804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giab_comparaison_Rapid_V4_TubeF!$B$14:$D$14</c:f>
              <c:numCache>
                <c:formatCode>General</c:formatCode>
                <c:ptCount val="3"/>
                <c:pt idx="0">
                  <c:v>644</c:v>
                </c:pt>
                <c:pt idx="1">
                  <c:v>24</c:v>
                </c:pt>
                <c:pt idx="2">
                  <c:v>668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giab_comparaison_Rapid_V4_TubeF!$B$6:$D$6</c15:sqref>
                        </c15:formulaRef>
                      </c:ext>
                    </c:extLst>
                    <c:strCache>
                      <c:ptCount val="3"/>
                      <c:pt idx="0">
                        <c:v>SNP</c:v>
                      </c:pt>
                      <c:pt idx="1">
                        <c:v>indel</c:v>
                      </c:pt>
                      <c:pt idx="2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7"/>
          <c:order val="6"/>
          <c:tx>
            <c:strRef>
              <c:f>giab_comparaison_Rapid_V4_TubeF!$H$6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giab_comparaison_Rapid_V4_TubeF!$H$7:$H$15</c15:sqref>
                  </c15:fullRef>
                </c:ext>
              </c:extLst>
              <c:f>(giab_comparaison_Rapid_V4_TubeF!$H$7:$H$11,giab_comparaison_Rapid_V4_TubeF!$H$13:$H$14)</c:f>
              <c:numCache>
                <c:formatCode>0.000_ </c:formatCode>
                <c:ptCount val="7"/>
                <c:pt idx="0">
                  <c:v>1</c:v>
                </c:pt>
                <c:pt idx="1">
                  <c:v>0.984779299847793</c:v>
                </c:pt>
                <c:pt idx="2">
                  <c:v>0.993855606758833</c:v>
                </c:pt>
                <c:pt idx="3">
                  <c:v>0.998449612403101</c:v>
                </c:pt>
                <c:pt idx="4">
                  <c:v>0.978819969742814</c:v>
                </c:pt>
                <c:pt idx="5">
                  <c:v>0.948755490483163</c:v>
                </c:pt>
                <c:pt idx="6">
                  <c:v>1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giab_comparaison_Rapid_V4_TubeF!$I$6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giab_comparaison_Rapid_V4_TubeF!$I$7:$I$15</c15:sqref>
                  </c15:fullRef>
                </c:ext>
              </c:extLst>
              <c:f>(giab_comparaison_Rapid_V4_TubeF!$I$7:$I$11,giab_comparaison_Rapid_V4_TubeF!$I$13:$I$14)</c:f>
              <c:numCache>
                <c:formatCode>0.000_ </c:formatCode>
                <c:ptCount val="7"/>
                <c:pt idx="0">
                  <c:v>1</c:v>
                </c:pt>
                <c:pt idx="1">
                  <c:v>0.993855606758833</c:v>
                </c:pt>
                <c:pt idx="2">
                  <c:v>0.998456790123457</c:v>
                </c:pt>
                <c:pt idx="3">
                  <c:v>0.992295839753467</c:v>
                </c:pt>
                <c:pt idx="4">
                  <c:v>0.998456790123457</c:v>
                </c:pt>
                <c:pt idx="5">
                  <c:v>0.989312977099237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giab_comparaison_Rapid_V4_TubeF!$B$6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giab_comparaison_Rapid_V4_TubeF!$B$7:$B$15</c15:sqref>
                        </c15:fullRef>
                        <c15:formulaRef>
                          <c15:sqref>(giab_comparaison_Rapid_V4_TubeF!$B$7:$B$11,giab_comparaison_Rapid_V4_TubeF!$B$13:$B$14)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657</c:v>
                      </c:pt>
                      <c:pt idx="2">
                        <c:v>651</c:v>
                      </c:pt>
                      <c:pt idx="3">
                        <c:v>645</c:v>
                      </c:pt>
                      <c:pt idx="4">
                        <c:v>661</c:v>
                      </c:pt>
                      <c:pt idx="5">
                        <c:v>683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giab_comparaison_Rapid_V4_TubeF!$C$6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giab_comparaison_Rapid_V4_TubeF!$C$7:$C$15</c15:sqref>
                        </c15:fullRef>
                        <c15:formulaRef>
                          <c15:sqref>(giab_comparaison_Rapid_V4_TubeF!$C$7:$C$11,giab_comparaison_Rapid_V4_TubeF!$C$13:$C$14)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77</c:v>
                      </c:pt>
                      <c:pt idx="1">
                        <c:v>72</c:v>
                      </c:pt>
                      <c:pt idx="2">
                        <c:v>90</c:v>
                      </c:pt>
                      <c:pt idx="3">
                        <c:v>43</c:v>
                      </c:pt>
                      <c:pt idx="4">
                        <c:v>88</c:v>
                      </c:pt>
                      <c:pt idx="5">
                        <c:v>121</c:v>
                      </c:pt>
                      <c:pt idx="6">
                        <c:v>24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giab_comparaison_Rapid_V4_TubeF!$D$6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giab_comparaison_Rapid_V4_TubeF!$D$7:$D$15</c15:sqref>
                        </c15:fullRef>
                        <c15:formulaRef>
                          <c15:sqref>(giab_comparaison_Rapid_V4_TubeF!$D$7:$D$11,giab_comparaison_Rapid_V4_TubeF!$D$13:$D$14)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725</c:v>
                      </c:pt>
                      <c:pt idx="1">
                        <c:v>729</c:v>
                      </c:pt>
                      <c:pt idx="2">
                        <c:v>741</c:v>
                      </c:pt>
                      <c:pt idx="3">
                        <c:v>688</c:v>
                      </c:pt>
                      <c:pt idx="4">
                        <c:v>749</c:v>
                      </c:pt>
                      <c:pt idx="5">
                        <c:v>804</c:v>
                      </c:pt>
                      <c:pt idx="6">
                        <c:v>668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giab_comparaison_Rapid_V4_TubeF!$E$7:$E$15</c15:sqref>
                        </c15:fullRef>
                        <c15:formulaRef>
                          <c15:sqref>(giab_comparaison_Rapid_V4_TubeF!$E$7:$E$11,giab_comparaison_Rapid_V4_TubeF!$E$13:$E$14)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647</c:v>
                      </c:pt>
                      <c:pt idx="2">
                        <c:v>647</c:v>
                      </c:pt>
                      <c:pt idx="3">
                        <c:v>644</c:v>
                      </c:pt>
                      <c:pt idx="4">
                        <c:v>647</c:v>
                      </c:pt>
                      <c:pt idx="5">
                        <c:v>648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giab_comparaison_Rapid_V4_TubeF!$F$6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giab_comparaison_Rapid_V4_TubeF!$F$7:$F$15</c15:sqref>
                        </c15:fullRef>
                        <c15:formulaRef>
                          <c15:sqref>(giab_comparaison_Rapid_V4_TubeF!$F$7:$F$11,giab_comparaison_Rapid_V4_TubeF!$F$13:$F$14)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4</c:v>
                      </c:pt>
                      <c:pt idx="3">
                        <c:v>1</c:v>
                      </c:pt>
                      <c:pt idx="4">
                        <c:v>14</c:v>
                      </c:pt>
                      <c:pt idx="5">
                        <c:v>35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giab_comparaison_Rapid_V4_TubeF!$G$7:$G$15</c15:sqref>
                        </c15:fullRef>
                        <c15:formulaRef>
                          <c15:sqref>(giab_comparaison_Rapid_V4_TubeF!$G$7:$G$11,giab_comparaison_Rapid_V4_TubeF!$G$13:$G$14)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4</c:v>
                      </c:pt>
                      <c:pt idx="2">
                        <c:v>1</c:v>
                      </c:pt>
                      <c:pt idx="3">
                        <c:v>5</c:v>
                      </c:pt>
                      <c:pt idx="4">
                        <c:v>1</c:v>
                      </c:pt>
                      <c:pt idx="5">
                        <c:v>7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giab_comparaison_Rapid_V4_TubeF!$E$7:$E$15</c15:sqref>
                  </c15:fullRef>
                </c:ext>
              </c:extLst>
              <c:f>(giab_comparaison_Rapid_V4_TubeF!$E$7:$E$11,giab_comparaison_Rapid_V4_TubeF!$E$13:$E$14)</c:f>
              <c:numCache>
                <c:formatCode>General</c:formatCode>
                <c:ptCount val="7"/>
                <c:pt idx="0">
                  <c:v>648</c:v>
                </c:pt>
                <c:pt idx="1">
                  <c:v>647</c:v>
                </c:pt>
                <c:pt idx="2">
                  <c:v>647</c:v>
                </c:pt>
                <c:pt idx="3">
                  <c:v>644</c:v>
                </c:pt>
                <c:pt idx="4">
                  <c:v>647</c:v>
                </c:pt>
                <c:pt idx="5">
                  <c:v>648</c:v>
                </c:pt>
                <c:pt idx="6">
                  <c:v>644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giab_comparaison_Rapid_V4_TubeF!$F$6</c:f>
              <c:strCache>
                <c:ptCount val="1"/>
                <c:pt idx="0">
                  <c:v>False Postive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giab_comparaison_Rapid_V4_TubeF!$F$7:$F$15</c15:sqref>
                  </c15:fullRef>
                </c:ext>
              </c:extLst>
              <c:f>(giab_comparaison_Rapid_V4_TubeF!$F$7:$F$11,giab_comparaison_Rapid_V4_TubeF!$F$13:$F$14)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14</c:v>
                </c:pt>
                <c:pt idx="5">
                  <c:v>35</c:v>
                </c:pt>
                <c:pt idx="6">
                  <c:v>0</c:v>
                </c:pt>
              </c:numCache>
            </c:numRef>
          </c:val>
        </c:ser>
        <c:ser>
          <c:idx val="6"/>
          <c:order val="5"/>
          <c:tx>
            <c:strRef>
              <c:f>giab_comparaison_Rapid_V4_TubeF!$G$6</c:f>
              <c:strCache>
                <c:ptCount val="1"/>
                <c:pt idx="0">
                  <c:v>False Negative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giab_comparaison_Rapid_V4_TubeF!$G$7:$G$15</c15:sqref>
                  </c15:fullRef>
                </c:ext>
              </c:extLst>
              <c:f>(giab_comparaison_Rapid_V4_TubeF!$G$7:$G$11,giab_comparaison_Rapid_V4_TubeF!$G$13:$G$14)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giab_comparaison_Rapid_V4_TubeF!$B$6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giab_comparaison_Rapid_V4_TubeF!$B$7:$B$15</c15:sqref>
                        </c15:fullRef>
                        <c15:formulaRef>
                          <c15:sqref>(giab_comparaison_Rapid_V4_TubeF!$B$7:$B$11,giab_comparaison_Rapid_V4_TubeF!$B$13:$B$14)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657</c:v>
                      </c:pt>
                      <c:pt idx="2">
                        <c:v>651</c:v>
                      </c:pt>
                      <c:pt idx="3">
                        <c:v>645</c:v>
                      </c:pt>
                      <c:pt idx="4">
                        <c:v>661</c:v>
                      </c:pt>
                      <c:pt idx="5">
                        <c:v>683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giab_comparaison_Rapid_V4_TubeF!$C$6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giab_comparaison_Rapid_V4_TubeF!$C$7:$C$15</c15:sqref>
                        </c15:fullRef>
                        <c15:formulaRef>
                          <c15:sqref>(giab_comparaison_Rapid_V4_TubeF!$C$7:$C$11,giab_comparaison_Rapid_V4_TubeF!$C$13:$C$14)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77</c:v>
                      </c:pt>
                      <c:pt idx="1">
                        <c:v>72</c:v>
                      </c:pt>
                      <c:pt idx="2">
                        <c:v>90</c:v>
                      </c:pt>
                      <c:pt idx="3">
                        <c:v>43</c:v>
                      </c:pt>
                      <c:pt idx="4">
                        <c:v>88</c:v>
                      </c:pt>
                      <c:pt idx="5">
                        <c:v>121</c:v>
                      </c:pt>
                      <c:pt idx="6">
                        <c:v>24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giab_comparaison_Rapid_V4_TubeF!$D$6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giab_comparaison_Rapid_V4_TubeF!$D$7:$D$15</c15:sqref>
                        </c15:fullRef>
                        <c15:formulaRef>
                          <c15:sqref>(giab_comparaison_Rapid_V4_TubeF!$D$7:$D$11,giab_comparaison_Rapid_V4_TubeF!$D$13:$D$14)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725</c:v>
                      </c:pt>
                      <c:pt idx="1">
                        <c:v>729</c:v>
                      </c:pt>
                      <c:pt idx="2">
                        <c:v>741</c:v>
                      </c:pt>
                      <c:pt idx="3">
                        <c:v>688</c:v>
                      </c:pt>
                      <c:pt idx="4">
                        <c:v>749</c:v>
                      </c:pt>
                      <c:pt idx="5">
                        <c:v>804</c:v>
                      </c:pt>
                      <c:pt idx="6">
                        <c:v>668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giab_comparaison_Rapid_V4_TubeF!$H$6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giab_comparaison_Rapid_V4_TubeF!$H$7:$H$15</c15:sqref>
                        </c15:fullRef>
                        <c15:formulaRef>
                          <c15:sqref>(giab_comparaison_Rapid_V4_TubeF!$H$7:$H$11,giab_comparaison_Rapid_V4_TubeF!$H$13:$H$14)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0.984779299847793</c:v>
                      </c:pt>
                      <c:pt idx="2">
                        <c:v>0.993855606758833</c:v>
                      </c:pt>
                      <c:pt idx="3">
                        <c:v>0.998449612403101</c:v>
                      </c:pt>
                      <c:pt idx="4">
                        <c:v>0.978819969742814</c:v>
                      </c:pt>
                      <c:pt idx="5">
                        <c:v>0.948755490483163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giab_comparaison_Rapid_V4_TubeF!$I$6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giab_comparaison_Rapid_V4_TubeF!$I$7:$I$15</c15:sqref>
                        </c15:fullRef>
                        <c15:formulaRef>
                          <c15:sqref>(giab_comparaison_Rapid_V4_TubeF!$I$7:$I$11,giab_comparaison_Rapid_V4_TubeF!$I$13:$I$14)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0.993855606758833</c:v>
                      </c:pt>
                      <c:pt idx="2">
                        <c:v>0.998456790123457</c:v>
                      </c:pt>
                      <c:pt idx="3">
                        <c:v>0.992295839753467</c:v>
                      </c:pt>
                      <c:pt idx="4">
                        <c:v>0.998456790123457</c:v>
                      </c:pt>
                      <c:pt idx="5">
                        <c:v>0.989312977099237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giab_comparaison_Rapid_V4_TubeF!$E$7</c:f>
              <c:numCache>
                <c:formatCode>General</c:formatCode>
                <c:ptCount val="1"/>
                <c:pt idx="0">
                  <c:v>648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giab_comparaison_Rapid_V4_TubeF!$E$8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giab_comparaison_Rapid_V4_TubeF!$E$9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giab_comparaison_Rapid_V4_TubeF!$E$10</c:f>
              <c:numCache>
                <c:formatCode>General</c:formatCode>
                <c:ptCount val="1"/>
                <c:pt idx="0">
                  <c:v>644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giab_comparaison_Rapid_V4_TubeF!$E$11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giab_comparaison_Rapid_V4_TubeF!$E$13</c:f>
              <c:numCache>
                <c:formatCode>General</c:formatCode>
                <c:ptCount val="1"/>
                <c:pt idx="0">
                  <c:v>648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giab_comparaison_Rapid_V4_TubeF!$E$14</c:f>
              <c:numCache>
                <c:formatCode>General</c:formatCode>
                <c:ptCount val="1"/>
                <c:pt idx="0">
                  <c:v>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giab_comparaison_Rapid_V4_TubeF!$E$12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giab_comparaison_Rapid_V4_TubeF!$H$7:$I$7</c:f>
              <c:numCache>
                <c:formatCode>0.000_ 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giab_comparaison_Rapid_V4_TubeF!$H$8:$I$8</c:f>
              <c:numCache>
                <c:formatCode>0.000_ </c:formatCode>
                <c:ptCount val="2"/>
                <c:pt idx="0">
                  <c:v>0.984779299847793</c:v>
                </c:pt>
                <c:pt idx="1">
                  <c:v>0.993855606758833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giab_comparaison_Rapid_V4_TubeF!$H$9:$I$9</c:f>
              <c:numCache>
                <c:formatCode>0.000_ </c:formatCode>
                <c:ptCount val="2"/>
                <c:pt idx="0">
                  <c:v>0.993855606758833</c:v>
                </c:pt>
                <c:pt idx="1">
                  <c:v>0.998456790123457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giab_comparaison_Rapid_V4_TubeF!$H$10:$I$10</c:f>
              <c:numCache>
                <c:formatCode>0.000_ </c:formatCode>
                <c:ptCount val="2"/>
                <c:pt idx="0">
                  <c:v>0.998449612403101</c:v>
                </c:pt>
                <c:pt idx="1">
                  <c:v>0.992295839753467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giab_comparaison_Rapid_V4_TubeF!$H$11:$I$11</c:f>
              <c:numCache>
                <c:formatCode>0.000_ </c:formatCode>
                <c:ptCount val="2"/>
                <c:pt idx="0">
                  <c:v>0.978819969742814</c:v>
                </c:pt>
                <c:pt idx="1">
                  <c:v>0.998456790123457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giab_comparaison_Rapid_V4_TubeF!$H$13:$I$13</c:f>
              <c:numCache>
                <c:formatCode>0.000_ </c:formatCode>
                <c:ptCount val="2"/>
                <c:pt idx="0">
                  <c:v>0.948755490483163</c:v>
                </c:pt>
                <c:pt idx="1">
                  <c:v>0.989312977099237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giab_comparaison_Rapid_V4_TubeF!$H$14:$I$14</c:f>
              <c:numCache>
                <c:formatCode>0.000_ 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giab_comparaison_Rapid_V4_TubeF!$H$6:$I$6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giab_comparaison_Rapid_V4_TubeF!$H$12:$I$12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giab_comparaison_Rapid_V4_TubeF!$F$7:$G$7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giab_comparaison_Rapid_V4_TubeF!$F$8:$G$8</c:f>
              <c:numCache>
                <c:formatCode>General</c:formatCode>
                <c:ptCount val="2"/>
                <c:pt idx="0">
                  <c:v>10</c:v>
                </c:pt>
                <c:pt idx="1">
                  <c:v>4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giab_comparaison_Rapid_V4_TubeF!$F$9:$G$9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ser>
          <c:idx val="4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giab_comparaison_Rapid_V4_TubeF!$F$10:$G$10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</c:ser>
        <c:ser>
          <c:idx val="5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giab_comparaison_Rapid_V4_TubeF!$F$11:$G$11</c:f>
              <c:numCache>
                <c:formatCode>General</c:formatCode>
                <c:ptCount val="2"/>
                <c:pt idx="0">
                  <c:v>14</c:v>
                </c:pt>
                <c:pt idx="1">
                  <c:v>1</c:v>
                </c:pt>
              </c:numCache>
            </c:numRef>
          </c:val>
        </c:ser>
        <c:ser>
          <c:idx val="7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giab_comparaison_Rapid_V4_TubeF!$F$13:$G$13</c:f>
              <c:numCache>
                <c:formatCode>General</c:formatCode>
                <c:ptCount val="2"/>
                <c:pt idx="0">
                  <c:v>35</c:v>
                </c:pt>
                <c:pt idx="1">
                  <c:v>7</c:v>
                </c:pt>
              </c:numCache>
            </c:numRef>
          </c:val>
        </c:ser>
        <c:ser>
          <c:idx val="8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giab_comparaison_Rapid_V4_TubeF!$F$14:$G$14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giab_comparaison_Rapid_V4_TubeF!$F$6:$G$6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giab_comparaison_Rapid_V4_TubeF!$F$12:$G$12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giab_comparaison_Rapid_V4_TubeF!$J$7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</c:ser>
        <c:ser>
          <c:idx val="1"/>
          <c:order val="1"/>
          <c:tx>
            <c:strRef>
              <c:f>[1]giab_comparaison_Rapid_V4_TubeF!$A$8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giab_comparaison_Rapid_V4_TubeF!$J$8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</c:ser>
        <c:ser>
          <c:idx val="2"/>
          <c:order val="2"/>
          <c:tx>
            <c:strRef>
              <c:f>[1]giab_comparaison_Rapid_V4_TubeF!$A$9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giab_comparaison_Rapid_V4_TubeF!$J$9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</c:ser>
        <c:ser>
          <c:idx val="3"/>
          <c:order val="3"/>
          <c:tx>
            <c:strRef>
              <c:f>[1]giab_comparaison_Rapid_V4_TubeF!$A$10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giab_comparaison_Rapid_V4_TubeF!$J$10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</c:ser>
        <c:ser>
          <c:idx val="4"/>
          <c:order val="4"/>
          <c:tx>
            <c:strRef>
              <c:f>[1]giab_comparaison_Rapid_V4_TubeF!$A$11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giab_comparaison_Rapid_V4_TubeF!$J$11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</c:ser>
        <c:ser>
          <c:idx val="5"/>
          <c:order val="5"/>
          <c:tx>
            <c:strRef>
              <c:f>[1]giab_comparaison_Rapid_V4_TubeF!$A$12</c:f>
              <c:strCache>
                <c:ptCount val="1"/>
                <c:pt idx="0">
                  <c:v>Variant called by :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giab_comparaison_Rapid_V4_TubeF!$J$12:$N$12</c15:sqref>
                  </c15:fullRef>
                </c:ext>
              </c:extLst>
              <c:f>giab_comparaison_Rapid_V4_TubeF!$J$12</c:f>
              <c:numCache>
                <c:formatCode>General</c:formatCode>
                <c:ptCount val="1"/>
              </c:numCache>
            </c:numRef>
          </c:val>
        </c:ser>
        <c:ser>
          <c:idx val="7"/>
          <c:order val="7"/>
          <c:tx>
            <c:strRef>
              <c:f>[1]giab_comparaison_Rapid_V4_TubeF!$A$14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giab_comparaison_Rapid_V4_TubeF!$J$14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[1]giab_comparaison_Rapid_V4_TubeF!$A$13</c15:sqref>
                        </c15:formulaRef>
                      </c:ext>
                    </c:extLst>
                    <c:strCache>
                      <c:ptCount val="1"/>
                      <c:pt idx="0">
                        <c:v>at least 1 caller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[1]giab_comparaison_Rapid_V4_TubeF!$J$6:$N$6</c15:sqref>
                        </c15:fullRef>
                        <c15:formulaRef>
                          <c15:sqref>[1]giab_comparaison_Rapid_V4_TubeF!$J$6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giab_comparaison_Rapid_V4_TubeF!$J$13:$N$13</c15:sqref>
                        </c15:fullRef>
                        <c15:formulaRef>
                          <c15:sqref>giab_comparaison_Rapid_V4_TubeF!$J$13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65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a293f8-0949-401e-8076-b584ec1bc3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giab_comparaison_Rapid_V4_TubeF!$K$7:$L$7</c:f>
              <c:numCache>
                <c:formatCode>General</c:formatCode>
                <c:ptCount val="2"/>
                <c:pt idx="0">
                  <c:v>12</c:v>
                </c:pt>
                <c:pt idx="1">
                  <c:v>5</c:v>
                </c:pt>
              </c:numCache>
            </c:numRef>
          </c:val>
        </c:ser>
        <c:ser>
          <c:idx val="1"/>
          <c:order val="1"/>
          <c:tx>
            <c:strRef>
              <c:f>[1]giab_comparaison_Rapid_V4_TubeF!$A$8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giab_comparaison_Rapid_V4_TubeF!$K$8:$L$8</c:f>
              <c:numCache>
                <c:formatCode>General</c:formatCode>
                <c:ptCount val="2"/>
                <c:pt idx="0">
                  <c:v>26</c:v>
                </c:pt>
                <c:pt idx="1">
                  <c:v>26</c:v>
                </c:pt>
              </c:numCache>
            </c:numRef>
          </c:val>
        </c:ser>
        <c:ser>
          <c:idx val="2"/>
          <c:order val="2"/>
          <c:tx>
            <c:strRef>
              <c:f>[1]giab_comparaison_Rapid_V4_TubeF!$A$9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giab_comparaison_Rapid_V4_TubeF!$K$9:$L$9</c:f>
              <c:numCache>
                <c:formatCode>General</c:formatCode>
                <c:ptCount val="2"/>
                <c:pt idx="0">
                  <c:v>27</c:v>
                </c:pt>
                <c:pt idx="1">
                  <c:v>9</c:v>
                </c:pt>
              </c:numCache>
            </c:numRef>
          </c:val>
        </c:ser>
        <c:ser>
          <c:idx val="3"/>
          <c:order val="3"/>
          <c:tx>
            <c:strRef>
              <c:f>[1]giab_comparaison_Rapid_V4_TubeF!$A$10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giab_comparaison_Rapid_V4_TubeF!$K$10:$L$10</c:f>
              <c:numCache>
                <c:formatCode>General</c:formatCode>
                <c:ptCount val="2"/>
                <c:pt idx="0">
                  <c:v>5</c:v>
                </c:pt>
                <c:pt idx="1">
                  <c:v>34</c:v>
                </c:pt>
              </c:numCache>
            </c:numRef>
          </c:val>
        </c:ser>
        <c:ser>
          <c:idx val="4"/>
          <c:order val="4"/>
          <c:tx>
            <c:strRef>
              <c:f>[1]giab_comparaison_Rapid_V4_TubeF!$A$11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giab_comparaison_Rapid_V4_TubeF!$K$11:$L$11</c:f>
              <c:numCache>
                <c:formatCode>General</c:formatCode>
                <c:ptCount val="2"/>
                <c:pt idx="0">
                  <c:v>23</c:v>
                </c:pt>
                <c:pt idx="1">
                  <c:v>7</c:v>
                </c:pt>
              </c:numCache>
            </c:numRef>
          </c:val>
        </c:ser>
        <c:ser>
          <c:idx val="6"/>
          <c:order val="6"/>
          <c:tx>
            <c:strRef>
              <c:f>[1]giab_comparaison_Rapid_V4_TubeF!$A$13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giab_comparaison_Rapid_V4_TubeF!$K$13:$L$13</c:f>
              <c:numCache>
                <c:formatCode>General</c:formatCode>
                <c:ptCount val="2"/>
                <c:pt idx="0">
                  <c:v>56</c:v>
                </c:pt>
                <c:pt idx="1">
                  <c:v>49</c:v>
                </c:pt>
              </c:numCache>
            </c:numRef>
          </c:val>
        </c:ser>
        <c:ser>
          <c:idx val="7"/>
          <c:order val="7"/>
          <c:tx>
            <c:strRef>
              <c:f>[1]giab_comparaison_Rapid_V4_TubeF!$A$14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giab_comparaison_Rapid_V4_TubeF!$K$14:$L$14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[1]giab_comparaison_Rapid_V4_TubeF!$A$12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[1]giab_comparaison_Rapid_V4_TubeF!$J$6:$N$6</c15:sqref>
                        </c15:fullRef>
                        <c15:formulaRef>
                          <c15:sqref>[1]giab_comparaison_Rapid_V4_TubeF!$K$6:$L$6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giab_comparaison_Rapid_V4_TubeF!$K$12:$L$12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8ea68d-019b-4691-83b1-bd84aada0f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giab_comparaison_Rapid_V4_TubeF!$M$7:$N$7</c:f>
              <c:numCache>
                <c:formatCode>0.000_ </c:formatCode>
                <c:ptCount val="2"/>
                <c:pt idx="0">
                  <c:v>0.844155844155844</c:v>
                </c:pt>
                <c:pt idx="1">
                  <c:v>0.928571428571429</c:v>
                </c:pt>
              </c:numCache>
            </c:numRef>
          </c:val>
        </c:ser>
        <c:ser>
          <c:idx val="1"/>
          <c:order val="1"/>
          <c:tx>
            <c:strRef>
              <c:f>[1]giab_comparaison_Rapid_V4_TubeF!$A$8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giab_comparaison_Rapid_V4_TubeF!$M$8:$N$8</c:f>
              <c:numCache>
                <c:formatCode>0.000_ </c:formatCode>
                <c:ptCount val="2"/>
                <c:pt idx="0">
                  <c:v>0.638888888888889</c:v>
                </c:pt>
                <c:pt idx="1">
                  <c:v>0.638888888888889</c:v>
                </c:pt>
              </c:numCache>
            </c:numRef>
          </c:val>
        </c:ser>
        <c:ser>
          <c:idx val="2"/>
          <c:order val="2"/>
          <c:tx>
            <c:strRef>
              <c:f>[1]giab_comparaison_Rapid_V4_TubeF!$A$9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giab_comparaison_Rapid_V4_TubeF!$M$9:$N$9</c:f>
              <c:numCache>
                <c:formatCode>0.000_ </c:formatCode>
                <c:ptCount val="2"/>
                <c:pt idx="0">
                  <c:v>0.7</c:v>
                </c:pt>
                <c:pt idx="1">
                  <c:v>0.875</c:v>
                </c:pt>
              </c:numCache>
            </c:numRef>
          </c:val>
        </c:ser>
        <c:ser>
          <c:idx val="3"/>
          <c:order val="3"/>
          <c:tx>
            <c:strRef>
              <c:f>[1]giab_comparaison_Rapid_V4_TubeF!$A$10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giab_comparaison_Rapid_V4_TubeF!$M$10:$N$10</c:f>
              <c:numCache>
                <c:formatCode>0.000_ </c:formatCode>
                <c:ptCount val="2"/>
                <c:pt idx="0">
                  <c:v>0.883720930232558</c:v>
                </c:pt>
                <c:pt idx="1">
                  <c:v>0.527777777777778</c:v>
                </c:pt>
              </c:numCache>
            </c:numRef>
          </c:val>
        </c:ser>
        <c:ser>
          <c:idx val="4"/>
          <c:order val="4"/>
          <c:tx>
            <c:strRef>
              <c:f>[1]giab_comparaison_Rapid_V4_TubeF!$A$11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giab_comparaison_Rapid_V4_TubeF!$M$11:$N$11</c:f>
              <c:numCache>
                <c:formatCode>0.000_ </c:formatCode>
                <c:ptCount val="2"/>
                <c:pt idx="0">
                  <c:v>0.738636363636364</c:v>
                </c:pt>
                <c:pt idx="1">
                  <c:v>0.902777777777778</c:v>
                </c:pt>
              </c:numCache>
            </c:numRef>
          </c:val>
        </c:ser>
        <c:ser>
          <c:idx val="6"/>
          <c:order val="6"/>
          <c:tx>
            <c:strRef>
              <c:f>[1]giab_comparaison_Rapid_V4_TubeF!$A$13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giab_comparaison_Rapid_V4_TubeF!$M$13:$N$13</c:f>
              <c:numCache>
                <c:formatCode>0.000_ </c:formatCode>
                <c:ptCount val="2"/>
                <c:pt idx="0">
                  <c:v>0.537190082644628</c:v>
                </c:pt>
                <c:pt idx="1">
                  <c:v>0.570175438596491</c:v>
                </c:pt>
              </c:numCache>
            </c:numRef>
          </c:val>
        </c:ser>
        <c:ser>
          <c:idx val="7"/>
          <c:order val="7"/>
          <c:tx>
            <c:strRef>
              <c:f>[1]giab_comparaison_Rapid_V4_TubeF!$A$14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[1]giab_comparaison_Rapid_V4_TubeF!$J$6:$N$6</c15:sqref>
                  </c15:fullRef>
                </c:ext>
              </c:extLst>
              <c:f>[1]giab_comparaison_Rapid_V4_TubeF!$M$6:$N$6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giab_comparaison_Rapid_V4_TubeF!$M$14:$N$14</c:f>
              <c:numCache>
                <c:formatCode>0.000_ </c:formatCode>
                <c:ptCount val="2"/>
                <c:pt idx="0">
                  <c:v>0.958333333333333</c:v>
                </c:pt>
                <c:pt idx="1">
                  <c:v>0.821428571428571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[1]giab_comparaison_Rapid_V4_TubeF!$A$12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[1]giab_comparaison_Rapid_V4_TubeF!$J$6:$N$6</c15:sqref>
                        </c15:fullRef>
                        <c15:formulaRef>
                          <c15:sqref>[1]giab_comparaison_Rapid_V4_TubeF!$M$6:$N$6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giab_comparaison_Rapid_V4_TubeF!$M$12:$N$12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22a0a2-046f-4146-ba03-90f542b541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giab_comparaison_Rapid_V4_TubeF!$J$7:$N$7</c:f>
              <c:numCache>
                <c:formatCode>General</c:formatCode>
                <c:ptCount val="5"/>
                <c:pt idx="0">
                  <c:v>65</c:v>
                </c:pt>
                <c:pt idx="1">
                  <c:v>12</c:v>
                </c:pt>
                <c:pt idx="2">
                  <c:v>5</c:v>
                </c:pt>
                <c:pt idx="3" c:formatCode="0.000_ ">
                  <c:v>0.844155844155844</c:v>
                </c:pt>
                <c:pt idx="4" c:formatCode="0.000_ ">
                  <c:v>0.928571428571429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giab_comparaison_Rapid_V4_TubeF!$J$8:$N$8</c:f>
              <c:numCache>
                <c:formatCode>General</c:formatCode>
                <c:ptCount val="5"/>
                <c:pt idx="0">
                  <c:v>46</c:v>
                </c:pt>
                <c:pt idx="1">
                  <c:v>26</c:v>
                </c:pt>
                <c:pt idx="2">
                  <c:v>26</c:v>
                </c:pt>
                <c:pt idx="3" c:formatCode="0.000_ ">
                  <c:v>0.638888888888889</c:v>
                </c:pt>
                <c:pt idx="4" c:formatCode="0.000_ ">
                  <c:v>0.638888888888889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giab_comparaison_Rapid_V4_TubeF!$J$9:$N$9</c:f>
              <c:numCache>
                <c:formatCode>General</c:formatCode>
                <c:ptCount val="5"/>
                <c:pt idx="0">
                  <c:v>63</c:v>
                </c:pt>
                <c:pt idx="1">
                  <c:v>27</c:v>
                </c:pt>
                <c:pt idx="2">
                  <c:v>9</c:v>
                </c:pt>
                <c:pt idx="3" c:formatCode="0.000_ ">
                  <c:v>0.7</c:v>
                </c:pt>
                <c:pt idx="4" c:formatCode="0.000_ ">
                  <c:v>0.875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giab_comparaison_Rapid_V4_TubeF!$J$10:$N$10</c:f>
              <c:numCache>
                <c:formatCode>General</c:formatCode>
                <c:ptCount val="5"/>
                <c:pt idx="0">
                  <c:v>38</c:v>
                </c:pt>
                <c:pt idx="1">
                  <c:v>5</c:v>
                </c:pt>
                <c:pt idx="2">
                  <c:v>34</c:v>
                </c:pt>
                <c:pt idx="3" c:formatCode="0.000_ ">
                  <c:v>0.883720930232558</c:v>
                </c:pt>
                <c:pt idx="4" c:formatCode="0.000_ ">
                  <c:v>0.527777777777778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giab_comparaison_Rapid_V4_TubeF!$J$11:$N$11</c:f>
              <c:numCache>
                <c:formatCode>General</c:formatCode>
                <c:ptCount val="5"/>
                <c:pt idx="0">
                  <c:v>65</c:v>
                </c:pt>
                <c:pt idx="1">
                  <c:v>23</c:v>
                </c:pt>
                <c:pt idx="2">
                  <c:v>7</c:v>
                </c:pt>
                <c:pt idx="3" c:formatCode="0.000_ ">
                  <c:v>0.738636363636364</c:v>
                </c:pt>
                <c:pt idx="4" c:formatCode="0.000_ ">
                  <c:v>0.902777777777778</c:v>
                </c:pt>
              </c:numCache>
            </c:numRef>
          </c:val>
        </c:ser>
        <c:ser>
          <c:idx val="5"/>
          <c:order val="5"/>
          <c:tx>
            <c:strRef>
              <c:f>giab_comparaison_Rapid_V4_TubeF!$A$12</c:f>
              <c:strCache>
                <c:ptCount val="1"/>
                <c:pt idx="0">
                  <c:v>Variant called by :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giab_comparaison_Rapid_V4_TubeF!$J$12:$N$12</c:f>
              <c:numCache>
                <c:formatCode>General</c:formatCode>
                <c:ptCount val="5"/>
              </c:numCache>
            </c:numRef>
          </c:val>
        </c:ser>
        <c:ser>
          <c:idx val="6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giab_comparaison_Rapid_V4_TubeF!$J$13:$N$13</c:f>
              <c:numCache>
                <c:formatCode>General</c:formatCode>
                <c:ptCount val="5"/>
                <c:pt idx="0">
                  <c:v>65</c:v>
                </c:pt>
                <c:pt idx="1">
                  <c:v>56</c:v>
                </c:pt>
                <c:pt idx="2">
                  <c:v>49</c:v>
                </c:pt>
                <c:pt idx="3" c:formatCode="0.000_ ">
                  <c:v>0.537190082644628</c:v>
                </c:pt>
                <c:pt idx="4" c:formatCode="0.000_ ">
                  <c:v>0.570175438596491</c:v>
                </c:pt>
              </c:numCache>
            </c:numRef>
          </c:val>
        </c:ser>
        <c:ser>
          <c:idx val="7"/>
          <c:order val="7"/>
          <c:tx>
            <c:strRef>
              <c:f>giab_comparaison_Rapid_V4_TubeF!$A$14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giab_comparaison_Rapid_V4_TubeF!$J$14:$N$14</c:f>
              <c:numCache>
                <c:formatCode>General</c:formatCode>
                <c:ptCount val="5"/>
                <c:pt idx="0">
                  <c:v>23</c:v>
                </c:pt>
                <c:pt idx="1">
                  <c:v>1</c:v>
                </c:pt>
                <c:pt idx="2">
                  <c:v>5</c:v>
                </c:pt>
                <c:pt idx="3" c:formatCode="0.000_ ">
                  <c:v>0.958333333333333</c:v>
                </c:pt>
                <c:pt idx="4" c:formatCode="0.000_ ">
                  <c:v>0.821428571428571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5f7d83-8f52-4706-b61f-8463aacf8e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16</xdr:row>
      <xdr:rowOff>17780</xdr:rowOff>
    </xdr:from>
    <xdr:to>
      <xdr:col>6</xdr:col>
      <xdr:colOff>330200</xdr:colOff>
      <xdr:row>32</xdr:row>
      <xdr:rowOff>85090</xdr:rowOff>
    </xdr:to>
    <xdr:graphicFrame>
      <xdr:nvGraphicFramePr>
        <xdr:cNvPr id="8" name="Chart 7"/>
        <xdr:cNvGraphicFramePr/>
      </xdr:nvGraphicFramePr>
      <xdr:xfrm>
        <a:off x="635" y="3182620"/>
        <a:ext cx="4747260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22225</xdr:colOff>
      <xdr:row>33</xdr:row>
      <xdr:rowOff>136525</xdr:rowOff>
    </xdr:from>
    <xdr:to>
      <xdr:col>6</xdr:col>
      <xdr:colOff>351790</xdr:colOff>
      <xdr:row>50</xdr:row>
      <xdr:rowOff>31115</xdr:rowOff>
    </xdr:to>
    <xdr:graphicFrame>
      <xdr:nvGraphicFramePr>
        <xdr:cNvPr id="10" name="Chart 9"/>
        <xdr:cNvGraphicFramePr/>
      </xdr:nvGraphicFramePr>
      <xdr:xfrm>
        <a:off x="22225" y="6237605"/>
        <a:ext cx="4747260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395605</xdr:colOff>
      <xdr:row>16</xdr:row>
      <xdr:rowOff>14605</xdr:rowOff>
    </xdr:from>
    <xdr:to>
      <xdr:col>19</xdr:col>
      <xdr:colOff>621030</xdr:colOff>
      <xdr:row>32</xdr:row>
      <xdr:rowOff>81915</xdr:rowOff>
    </xdr:to>
    <xdr:graphicFrame>
      <xdr:nvGraphicFramePr>
        <xdr:cNvPr id="12" name="Chart 11"/>
        <xdr:cNvGraphicFramePr/>
      </xdr:nvGraphicFramePr>
      <xdr:xfrm>
        <a:off x="9671685" y="3179445"/>
        <a:ext cx="458406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709930</xdr:colOff>
      <xdr:row>16</xdr:row>
      <xdr:rowOff>25400</xdr:rowOff>
    </xdr:from>
    <xdr:to>
      <xdr:col>13</xdr:col>
      <xdr:colOff>114935</xdr:colOff>
      <xdr:row>32</xdr:row>
      <xdr:rowOff>92710</xdr:rowOff>
    </xdr:to>
    <xdr:graphicFrame>
      <xdr:nvGraphicFramePr>
        <xdr:cNvPr id="13" name="Chart 12"/>
        <xdr:cNvGraphicFramePr/>
      </xdr:nvGraphicFramePr>
      <xdr:xfrm>
        <a:off x="5068570" y="3190240"/>
        <a:ext cx="432244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34</xdr:row>
      <xdr:rowOff>16510</xdr:rowOff>
    </xdr:from>
    <xdr:to>
      <xdr:col>9</xdr:col>
      <xdr:colOff>343535</xdr:colOff>
      <xdr:row>50</xdr:row>
      <xdr:rowOff>84455</xdr:rowOff>
    </xdr:to>
    <xdr:graphicFrame>
      <xdr:nvGraphicFramePr>
        <xdr:cNvPr id="17" name="Chart 16"/>
        <xdr:cNvGraphicFramePr/>
      </xdr:nvGraphicFramePr>
      <xdr:xfrm>
        <a:off x="5068570" y="6290310"/>
        <a:ext cx="1645285" cy="2831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422275</xdr:colOff>
      <xdr:row>33</xdr:row>
      <xdr:rowOff>151130</xdr:rowOff>
    </xdr:from>
    <xdr:to>
      <xdr:col>19</xdr:col>
      <xdr:colOff>647700</xdr:colOff>
      <xdr:row>50</xdr:row>
      <xdr:rowOff>45720</xdr:rowOff>
    </xdr:to>
    <xdr:graphicFrame>
      <xdr:nvGraphicFramePr>
        <xdr:cNvPr id="18" name="Chart 17"/>
        <xdr:cNvGraphicFramePr/>
      </xdr:nvGraphicFramePr>
      <xdr:xfrm>
        <a:off x="9698355" y="6252210"/>
        <a:ext cx="458406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379095</xdr:colOff>
      <xdr:row>34</xdr:row>
      <xdr:rowOff>143510</xdr:rowOff>
    </xdr:from>
    <xdr:to>
      <xdr:col>13</xdr:col>
      <xdr:colOff>259080</xdr:colOff>
      <xdr:row>51</xdr:row>
      <xdr:rowOff>38100</xdr:rowOff>
    </xdr:to>
    <xdr:graphicFrame>
      <xdr:nvGraphicFramePr>
        <xdr:cNvPr id="2" name="Chart 1"/>
        <xdr:cNvGraphicFramePr/>
      </xdr:nvGraphicFramePr>
      <xdr:xfrm>
        <a:off x="6749415" y="6417310"/>
        <a:ext cx="278574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619125</xdr:colOff>
      <xdr:row>34</xdr:row>
      <xdr:rowOff>38100</xdr:rowOff>
    </xdr:from>
    <xdr:to>
      <xdr:col>23</xdr:col>
      <xdr:colOff>273050</xdr:colOff>
      <xdr:row>50</xdr:row>
      <xdr:rowOff>48260</xdr:rowOff>
    </xdr:to>
    <xdr:graphicFrame>
      <xdr:nvGraphicFramePr>
        <xdr:cNvPr id="3" name="Chart 2"/>
        <xdr:cNvGraphicFramePr/>
      </xdr:nvGraphicFramePr>
      <xdr:xfrm>
        <a:off x="14980285" y="6311900"/>
        <a:ext cx="183324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641350</xdr:colOff>
      <xdr:row>34</xdr:row>
      <xdr:rowOff>19050</xdr:rowOff>
    </xdr:from>
    <xdr:to>
      <xdr:col>27</xdr:col>
      <xdr:colOff>483235</xdr:colOff>
      <xdr:row>50</xdr:row>
      <xdr:rowOff>29210</xdr:rowOff>
    </xdr:to>
    <xdr:graphicFrame>
      <xdr:nvGraphicFramePr>
        <xdr:cNvPr id="4" name="Chart 3"/>
        <xdr:cNvGraphicFramePr/>
      </xdr:nvGraphicFramePr>
      <xdr:xfrm>
        <a:off x="17181830" y="6292850"/>
        <a:ext cx="274764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671830</xdr:colOff>
      <xdr:row>34</xdr:row>
      <xdr:rowOff>46990</xdr:rowOff>
    </xdr:from>
    <xdr:to>
      <xdr:col>34</xdr:col>
      <xdr:colOff>168275</xdr:colOff>
      <xdr:row>50</xdr:row>
      <xdr:rowOff>57150</xdr:rowOff>
    </xdr:to>
    <xdr:graphicFrame>
      <xdr:nvGraphicFramePr>
        <xdr:cNvPr id="5" name="Chart 4"/>
        <xdr:cNvGraphicFramePr/>
      </xdr:nvGraphicFramePr>
      <xdr:xfrm>
        <a:off x="20118070" y="6320790"/>
        <a:ext cx="458152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39370</xdr:colOff>
      <xdr:row>15</xdr:row>
      <xdr:rowOff>139065</xdr:rowOff>
    </xdr:from>
    <xdr:to>
      <xdr:col>30</xdr:col>
      <xdr:colOff>262890</xdr:colOff>
      <xdr:row>31</xdr:row>
      <xdr:rowOff>89535</xdr:rowOff>
    </xdr:to>
    <xdr:graphicFrame>
      <xdr:nvGraphicFramePr>
        <xdr:cNvPr id="6" name="Chart 5"/>
        <xdr:cNvGraphicFramePr/>
      </xdr:nvGraphicFramePr>
      <xdr:xfrm>
        <a:off x="17306290" y="3131185"/>
        <a:ext cx="4582160" cy="2713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perin/Downloads/bilan%20comparaison%20pipelines/v3/NGS2025_08679_Rapid_V4_TubeF_UMI_dragen-align_30X/NGS2025_08679_Rapid_V4_TubeF_UMI_dragen-alig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iab_comparaison_Rapid_V4_TubeF"/>
    </sheetNames>
    <sheetDataSet>
      <sheetData sheetId="0">
        <row r="6">
          <cell r="J6" t="str">
            <v>True Positive</v>
          </cell>
          <cell r="K6" t="str">
            <v>False Postive</v>
          </cell>
          <cell r="L6" t="str">
            <v>False Negative</v>
          </cell>
          <cell r="M6" t="str">
            <v>Accuracy</v>
          </cell>
          <cell r="N6" t="str">
            <v>Sensitivity</v>
          </cell>
        </row>
        <row r="7">
          <cell r="A7" t="str">
            <v>dragen-calling</v>
          </cell>
        </row>
        <row r="8">
          <cell r="A8" t="str">
            <v>freebayes</v>
          </cell>
        </row>
        <row r="9">
          <cell r="A9" t="str">
            <v>haplotypecaller4</v>
          </cell>
        </row>
        <row r="10">
          <cell r="A10" t="str">
            <v>unifiedgenotyper</v>
          </cell>
        </row>
        <row r="11">
          <cell r="A11" t="str">
            <v>samtools</v>
          </cell>
        </row>
        <row r="12">
          <cell r="A12" t="str">
            <v>Variant called by :</v>
          </cell>
        </row>
        <row r="13">
          <cell r="A13" t="str">
            <v>at least 1 caller</v>
          </cell>
        </row>
        <row r="14">
          <cell r="A14" t="str">
            <v>all 4 callers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="110" zoomScaleNormal="110" topLeftCell="A4" workbookViewId="0">
      <selection activeCell="F14" sqref="F14"/>
    </sheetView>
  </sheetViews>
  <sheetFormatPr defaultColWidth="11" defaultRowHeight="13.6"/>
  <cols>
    <col min="1" max="1" width="17.6153846153846" customWidth="1"/>
    <col min="2" max="9" width="9.85576923076923" customWidth="1"/>
  </cols>
  <sheetData>
    <row r="1" ht="16.8" spans="1:4">
      <c r="A1" s="3" t="s">
        <v>0</v>
      </c>
      <c r="B1" s="3"/>
      <c r="C1" s="3"/>
      <c r="D1" s="3"/>
    </row>
    <row r="2" ht="16.8" spans="1:9">
      <c r="A2" s="3" t="s">
        <v>1</v>
      </c>
      <c r="B2" s="3"/>
      <c r="C2" s="3"/>
      <c r="D2" s="3"/>
      <c r="E2" s="34" t="s">
        <v>2</v>
      </c>
      <c r="H2" s="35" t="s">
        <v>3</v>
      </c>
      <c r="I2" s="35"/>
    </row>
    <row r="3" ht="17.6" spans="1:9">
      <c r="A3" s="4" t="s">
        <v>4</v>
      </c>
      <c r="B3" s="4"/>
      <c r="C3" s="4"/>
      <c r="D3" s="4"/>
      <c r="E3" s="36" t="s">
        <v>5</v>
      </c>
      <c r="H3" s="35" t="s">
        <v>6</v>
      </c>
      <c r="I3" s="35"/>
    </row>
    <row r="4" spans="1:4">
      <c r="A4" s="5" t="s">
        <v>7</v>
      </c>
      <c r="B4" s="5"/>
      <c r="C4" s="5"/>
      <c r="D4" s="5"/>
    </row>
    <row r="5" customFormat="1" spans="1:14">
      <c r="A5" s="6"/>
      <c r="B5" s="1"/>
      <c r="C5" s="1"/>
      <c r="D5" s="1"/>
      <c r="E5" s="37" t="s">
        <v>8</v>
      </c>
      <c r="F5" s="38"/>
      <c r="G5" s="38"/>
      <c r="H5" s="38"/>
      <c r="I5" s="52"/>
      <c r="J5" s="37" t="s">
        <v>9</v>
      </c>
      <c r="K5" s="38"/>
      <c r="L5" s="38"/>
      <c r="M5" s="38"/>
      <c r="N5" s="52"/>
    </row>
    <row r="6" s="1" customFormat="1" ht="28" spans="1:14">
      <c r="A6" s="7" t="s">
        <v>10</v>
      </c>
      <c r="B6" s="8" t="s">
        <v>8</v>
      </c>
      <c r="C6" s="9" t="s">
        <v>11</v>
      </c>
      <c r="D6" s="10" t="s">
        <v>12</v>
      </c>
      <c r="E6" s="9" t="s">
        <v>13</v>
      </c>
      <c r="F6" s="9" t="s">
        <v>14</v>
      </c>
      <c r="G6" s="10" t="s">
        <v>15</v>
      </c>
      <c r="H6" s="39" t="s">
        <v>16</v>
      </c>
      <c r="I6" s="53" t="s">
        <v>17</v>
      </c>
      <c r="J6" s="9" t="s">
        <v>13</v>
      </c>
      <c r="K6" s="9" t="s">
        <v>14</v>
      </c>
      <c r="L6" s="10" t="s">
        <v>15</v>
      </c>
      <c r="M6" s="39" t="s">
        <v>16</v>
      </c>
      <c r="N6" s="53" t="s">
        <v>17</v>
      </c>
    </row>
    <row r="7" spans="1:14">
      <c r="A7" s="11" t="s">
        <v>18</v>
      </c>
      <c r="B7" s="12">
        <v>648</v>
      </c>
      <c r="C7" s="13">
        <v>77</v>
      </c>
      <c r="D7" s="13">
        <v>725</v>
      </c>
      <c r="E7" s="40">
        <v>648</v>
      </c>
      <c r="F7" s="41">
        <v>0</v>
      </c>
      <c r="G7" s="41">
        <v>0</v>
      </c>
      <c r="H7" s="42">
        <v>1</v>
      </c>
      <c r="I7" s="54">
        <v>1</v>
      </c>
      <c r="J7" s="40">
        <v>65</v>
      </c>
      <c r="K7" s="41">
        <v>12</v>
      </c>
      <c r="L7" s="41">
        <v>5</v>
      </c>
      <c r="M7" s="42">
        <v>0.844155844155844</v>
      </c>
      <c r="N7" s="54">
        <v>0.928571428571429</v>
      </c>
    </row>
    <row r="8" spans="1:14">
      <c r="A8" s="11" t="s">
        <v>19</v>
      </c>
      <c r="B8" s="14">
        <v>657</v>
      </c>
      <c r="C8" s="15">
        <v>72</v>
      </c>
      <c r="D8" s="15">
        <v>729</v>
      </c>
      <c r="E8" s="43">
        <v>647</v>
      </c>
      <c r="F8" s="44">
        <v>10</v>
      </c>
      <c r="G8" s="44">
        <v>4</v>
      </c>
      <c r="H8" s="45">
        <v>0.984779299847793</v>
      </c>
      <c r="I8" s="55">
        <v>0.993855606758833</v>
      </c>
      <c r="J8" s="43">
        <v>46</v>
      </c>
      <c r="K8" s="44">
        <v>26</v>
      </c>
      <c r="L8" s="44">
        <v>26</v>
      </c>
      <c r="M8" s="45">
        <v>0.638888888888889</v>
      </c>
      <c r="N8" s="55">
        <v>0.638888888888889</v>
      </c>
    </row>
    <row r="9" spans="1:14">
      <c r="A9" s="11" t="s">
        <v>20</v>
      </c>
      <c r="B9" s="14">
        <v>651</v>
      </c>
      <c r="C9" s="15">
        <v>90</v>
      </c>
      <c r="D9" s="15">
        <v>741</v>
      </c>
      <c r="E9" s="43">
        <v>647</v>
      </c>
      <c r="F9" s="44">
        <v>4</v>
      </c>
      <c r="G9" s="44">
        <v>1</v>
      </c>
      <c r="H9" s="45">
        <v>0.993855606758833</v>
      </c>
      <c r="I9" s="55">
        <v>0.998456790123457</v>
      </c>
      <c r="J9" s="43">
        <v>63</v>
      </c>
      <c r="K9" s="44">
        <v>27</v>
      </c>
      <c r="L9" s="44">
        <v>9</v>
      </c>
      <c r="M9" s="45">
        <v>0.7</v>
      </c>
      <c r="N9" s="55">
        <v>0.875</v>
      </c>
    </row>
    <row r="10" spans="1:14">
      <c r="A10" s="11" t="s">
        <v>21</v>
      </c>
      <c r="B10" s="16">
        <v>645</v>
      </c>
      <c r="C10" s="17">
        <v>43</v>
      </c>
      <c r="D10" s="17">
        <v>688</v>
      </c>
      <c r="E10" s="43">
        <v>644</v>
      </c>
      <c r="F10" s="44">
        <v>1</v>
      </c>
      <c r="G10" s="44">
        <v>5</v>
      </c>
      <c r="H10" s="45">
        <v>0.998449612403101</v>
      </c>
      <c r="I10" s="55">
        <v>0.992295839753467</v>
      </c>
      <c r="J10" s="43">
        <v>38</v>
      </c>
      <c r="K10" s="44">
        <v>5</v>
      </c>
      <c r="L10" s="44">
        <v>34</v>
      </c>
      <c r="M10" s="45">
        <v>0.883720930232558</v>
      </c>
      <c r="N10" s="55">
        <v>0.527777777777778</v>
      </c>
    </row>
    <row r="11" spans="1:14">
      <c r="A11" s="18" t="s">
        <v>22</v>
      </c>
      <c r="B11" s="19">
        <v>661</v>
      </c>
      <c r="C11" s="20">
        <v>88</v>
      </c>
      <c r="D11" s="20">
        <v>749</v>
      </c>
      <c r="E11" s="46">
        <v>647</v>
      </c>
      <c r="F11" s="47">
        <v>14</v>
      </c>
      <c r="G11" s="47">
        <v>1</v>
      </c>
      <c r="H11" s="48">
        <v>0.978819969742814</v>
      </c>
      <c r="I11" s="56">
        <v>0.998456790123457</v>
      </c>
      <c r="J11" s="46">
        <v>65</v>
      </c>
      <c r="K11" s="47">
        <v>23</v>
      </c>
      <c r="L11" s="47">
        <v>7</v>
      </c>
      <c r="M11" s="48">
        <v>0.738636363636364</v>
      </c>
      <c r="N11" s="56">
        <v>0.902777777777778</v>
      </c>
    </row>
    <row r="12" s="2" customFormat="1" ht="18" customHeight="1" spans="1:14">
      <c r="A12" s="21" t="s">
        <v>23</v>
      </c>
      <c r="B12" s="22"/>
      <c r="C12" s="23"/>
      <c r="D12" s="23"/>
      <c r="E12" s="23"/>
      <c r="F12" s="23"/>
      <c r="G12" s="23"/>
      <c r="H12" s="49"/>
      <c r="I12" s="49"/>
      <c r="J12" s="57"/>
      <c r="K12" s="57"/>
      <c r="L12" s="57"/>
      <c r="M12" s="58"/>
      <c r="N12" s="58"/>
    </row>
    <row r="13" spans="1:14">
      <c r="A13" s="11" t="s">
        <v>24</v>
      </c>
      <c r="B13" s="24">
        <v>683</v>
      </c>
      <c r="C13" s="25">
        <v>121</v>
      </c>
      <c r="D13" s="26">
        <v>804</v>
      </c>
      <c r="E13" s="40">
        <v>648</v>
      </c>
      <c r="F13" s="41">
        <v>35</v>
      </c>
      <c r="G13" s="50">
        <v>7</v>
      </c>
      <c r="H13" s="42">
        <v>0.948755490483163</v>
      </c>
      <c r="I13" s="54">
        <v>0.989312977099237</v>
      </c>
      <c r="J13" s="40">
        <v>65</v>
      </c>
      <c r="K13" s="41">
        <v>56</v>
      </c>
      <c r="L13" s="41">
        <v>49</v>
      </c>
      <c r="M13" s="42">
        <v>0.537190082644628</v>
      </c>
      <c r="N13" s="54">
        <v>0.570175438596491</v>
      </c>
    </row>
    <row r="14" spans="1:14">
      <c r="A14" s="18" t="s">
        <v>25</v>
      </c>
      <c r="B14" s="27">
        <v>644</v>
      </c>
      <c r="C14" s="28">
        <v>24</v>
      </c>
      <c r="D14" s="29">
        <v>668</v>
      </c>
      <c r="E14" s="46">
        <v>644</v>
      </c>
      <c r="F14" s="47">
        <v>0</v>
      </c>
      <c r="G14" s="51">
        <v>0</v>
      </c>
      <c r="H14" s="48">
        <v>1</v>
      </c>
      <c r="I14" s="56">
        <v>1</v>
      </c>
      <c r="J14" s="46">
        <v>23</v>
      </c>
      <c r="K14" s="47">
        <v>1</v>
      </c>
      <c r="L14" s="47">
        <v>5</v>
      </c>
      <c r="M14" s="48">
        <v>0.958333333333333</v>
      </c>
      <c r="N14" s="56">
        <v>0.821428571428571</v>
      </c>
    </row>
    <row r="15" ht="16" spans="1:9">
      <c r="A15" s="30" t="s">
        <v>26</v>
      </c>
      <c r="B15" s="31">
        <v>651</v>
      </c>
      <c r="C15" s="32">
        <v>73</v>
      </c>
      <c r="D15" s="33">
        <v>724</v>
      </c>
      <c r="E15" s="1"/>
      <c r="F15" s="1"/>
      <c r="G15" s="1"/>
      <c r="H15" s="1"/>
      <c r="I15" s="1"/>
    </row>
  </sheetData>
  <mergeCells count="8">
    <mergeCell ref="A1:D1"/>
    <mergeCell ref="A2:D2"/>
    <mergeCell ref="H2:I2"/>
    <mergeCell ref="A3:D3"/>
    <mergeCell ref="H3:I3"/>
    <mergeCell ref="A4:D4"/>
    <mergeCell ref="E5:I5"/>
    <mergeCell ref="J5:N5"/>
  </mergeCells>
  <conditionalFormatting sqref="E7:E11">
    <cfRule type="top10" dxfId="0" priority="36" bottom="1" rank="1"/>
    <cfRule type="top10" dxfId="1" priority="35" rank="1"/>
  </conditionalFormatting>
  <conditionalFormatting sqref="E13:E14">
    <cfRule type="top10" dxfId="0" priority="26" bottom="1" rank="1"/>
    <cfRule type="top10" dxfId="1" priority="25" rank="1"/>
  </conditionalFormatting>
  <conditionalFormatting sqref="F7:F11">
    <cfRule type="top10" dxfId="0" priority="34" rank="1"/>
    <cfRule type="top10" dxfId="1" priority="33" bottom="1" rank="1"/>
  </conditionalFormatting>
  <conditionalFormatting sqref="F13:F14">
    <cfRule type="top10" dxfId="0" priority="24" rank="1"/>
    <cfRule type="top10" dxfId="1" priority="23" bottom="1" rank="1"/>
  </conditionalFormatting>
  <conditionalFormatting sqref="G7:G11">
    <cfRule type="top10" dxfId="0" priority="32" rank="1"/>
    <cfRule type="top10" dxfId="1" priority="31" bottom="1" rank="1"/>
  </conditionalFormatting>
  <conditionalFormatting sqref="G13:G14">
    <cfRule type="top10" dxfId="0" priority="22" rank="1"/>
    <cfRule type="top10" dxfId="1" priority="21" bottom="1" rank="1"/>
  </conditionalFormatting>
  <conditionalFormatting sqref="H7:H11">
    <cfRule type="top10" dxfId="0" priority="40" bottom="1" rank="1"/>
    <cfRule type="top10" dxfId="1" priority="39" rank="1"/>
  </conditionalFormatting>
  <conditionalFormatting sqref="H13:H14">
    <cfRule type="top10" dxfId="0" priority="30" bottom="1" rank="1"/>
    <cfRule type="top10" dxfId="1" priority="29" rank="1"/>
  </conditionalFormatting>
  <conditionalFormatting sqref="I7:I11">
    <cfRule type="top10" dxfId="0" priority="38" bottom="1" rank="1"/>
    <cfRule type="top10" dxfId="1" priority="37" rank="1"/>
  </conditionalFormatting>
  <conditionalFormatting sqref="I13:I14">
    <cfRule type="top10" dxfId="0" priority="28" bottom="1" rank="1"/>
    <cfRule type="top10" dxfId="1" priority="27" rank="1"/>
  </conditionalFormatting>
  <conditionalFormatting sqref="J7:J11">
    <cfRule type="top10" dxfId="0" priority="12" bottom="1" rank="1"/>
    <cfRule type="top10" dxfId="1" priority="11" rank="1"/>
  </conditionalFormatting>
  <conditionalFormatting sqref="J13:J14">
    <cfRule type="top10" dxfId="0" priority="6" bottom="1" rank="1"/>
    <cfRule type="top10" dxfId="1" priority="5" rank="1"/>
  </conditionalFormatting>
  <conditionalFormatting sqref="K7:K11">
    <cfRule type="top10" dxfId="0" priority="10" rank="1"/>
    <cfRule type="top10" dxfId="1" priority="9" bottom="1" rank="1"/>
  </conditionalFormatting>
  <conditionalFormatting sqref="K13:K14">
    <cfRule type="top10" dxfId="0" priority="4" rank="1"/>
    <cfRule type="top10" dxfId="1" priority="3" bottom="1" rank="1"/>
  </conditionalFormatting>
  <conditionalFormatting sqref="L7:L11">
    <cfRule type="top10" dxfId="0" priority="8" rank="1"/>
    <cfRule type="top10" dxfId="1" priority="7" bottom="1" rank="1"/>
  </conditionalFormatting>
  <conditionalFormatting sqref="L13:L14">
    <cfRule type="top10" dxfId="0" priority="2" rank="1"/>
    <cfRule type="top10" dxfId="1" priority="1" bottom="1" rank="1"/>
  </conditionalFormatting>
  <conditionalFormatting sqref="M7:M11">
    <cfRule type="top10" dxfId="0" priority="20" bottom="1" rank="1"/>
    <cfRule type="top10" dxfId="1" priority="19" rank="1"/>
  </conditionalFormatting>
  <conditionalFormatting sqref="M13:M14">
    <cfRule type="top10" dxfId="0" priority="16" bottom="1" rank="1"/>
    <cfRule type="top10" dxfId="1" priority="15" rank="1"/>
  </conditionalFormatting>
  <conditionalFormatting sqref="N7:N11">
    <cfRule type="top10" dxfId="0" priority="18" bottom="1" rank="1"/>
    <cfRule type="top10" dxfId="1" priority="17" rank="1"/>
  </conditionalFormatting>
  <conditionalFormatting sqref="N13:N14">
    <cfRule type="top10" dxfId="0" priority="14" bottom="1" rank="1"/>
    <cfRule type="top10" dxfId="1" priority="13" rank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giab_comparaison_Rapid_V4_TubeF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Mélodie</cp:lastModifiedBy>
  <dcterms:created xsi:type="dcterms:W3CDTF">2025-02-11T20:17:00Z</dcterms:created>
  <dcterms:modified xsi:type="dcterms:W3CDTF">2025-07-01T17:26:39Z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91C14FB9B63B395B60E3C167F985ABDF_42</vt:lpwstr>
  </property>
  <property fmtid="{D5CDD505-2E9C-101B-9397-08002B2CF9AE}" pid="3" name="KSOProductBuildVer">
    <vt:lpwstr>1033-6.15.0.8733</vt:lpwstr>
  </property>
</Properties>
</file>