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8800"/>
  </bookViews>
  <sheets>
    <sheet name="giab_comparaison_RENOME_V5_Hg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<sst xmlns="http://schemas.openxmlformats.org/spreadsheetml/2006/main" count="66" uniqueCount="29">
  <si>
    <t>NGS2025_08660</t>
  </si>
  <si>
    <t>NGS2025_08659</t>
  </si>
  <si>
    <t>Capture: RENOME_V5_Hg19</t>
  </si>
  <si>
    <t>best</t>
  </si>
  <si>
    <t>Accuracy = TP/(TP+FP)</t>
  </si>
  <si>
    <t>Alignment method: bwa</t>
  </si>
  <si>
    <t>worst</t>
  </si>
  <si>
    <t>Sensitivity = TP/(TP+FN)</t>
  </si>
  <si>
    <t>Alignment method: dragen-align</t>
  </si>
  <si>
    <t>depth coverage ≥30 X</t>
  </si>
  <si>
    <t>SNP</t>
  </si>
  <si>
    <t>Indel</t>
  </si>
  <si>
    <t>Caller</t>
  </si>
  <si>
    <t>indel</t>
  </si>
  <si>
    <t>total</t>
  </si>
  <si>
    <t>True Positive</t>
  </si>
  <si>
    <t>False Postive</t>
  </si>
  <si>
    <t>False Negative</t>
  </si>
  <si>
    <t>Accuracy</t>
  </si>
  <si>
    <t>Sensitivity</t>
  </si>
  <si>
    <t>dragen-calling</t>
  </si>
  <si>
    <t>freebayes</t>
  </si>
  <si>
    <t>haplotypecaller4</t>
  </si>
  <si>
    <t>samtools</t>
  </si>
  <si>
    <t>unifiedgenotyper</t>
  </si>
  <si>
    <t>Variant called by :</t>
  </si>
  <si>
    <t>at least 1 caller</t>
  </si>
  <si>
    <t>all 5 callers</t>
  </si>
  <si>
    <r>
      <rPr>
        <b/>
        <sz val="10"/>
        <color theme="1"/>
        <rFont val="Arial"/>
        <charset val="134"/>
      </rPr>
      <t xml:space="preserve">NIST GIAB
</t>
    </r>
    <r>
      <rPr>
        <sz val="10"/>
        <color theme="1"/>
        <rFont val="Arial"/>
        <charset val="134"/>
      </rPr>
      <t>bed restricted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</si>
</sst>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000_ "/>
  </numFmts>
  <fonts count="29">
    <font>
      <sz val="9"/>
      <color theme="1"/>
      <name val="Arial"/>
      <charset val="134"/>
    </font>
    <font>
      <b/>
      <sz val="10"/>
      <color theme="1"/>
      <name val="Arial"/>
      <charset val="134"/>
    </font>
    <font>
      <b/>
      <sz val="11"/>
      <color theme="1"/>
      <name val="Arial"/>
      <charset val="134"/>
    </font>
    <font>
      <b/>
      <sz val="12"/>
      <color theme="1"/>
      <name val="Arial"/>
      <charset val="134"/>
    </font>
    <font>
      <b/>
      <sz val="9"/>
      <color theme="9" tint="-0.249977111117893"/>
      <name val="Arial"/>
      <charset val="134"/>
    </font>
    <font>
      <b/>
      <sz val="9"/>
      <color theme="1"/>
      <name val="Arial"/>
      <charset val="134"/>
    </font>
    <font>
      <b/>
      <sz val="9"/>
      <color theme="9" tint="-0.499984740745262"/>
      <name val="Arial"/>
      <charset val="134"/>
    </font>
    <font>
      <sz val="9"/>
      <color theme="9" tint="-0.499984740745262"/>
      <name val="Arial"/>
      <charset val="134"/>
    </font>
    <font>
      <sz val="9"/>
      <name val="Arial"/>
      <charset val="134"/>
    </font>
    <font>
      <b/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9"/>
      <color rgb="FFFF0000"/>
      <name val="Arial"/>
      <charset val="134"/>
    </font>
    <font>
      <sz val="18"/>
      <color theme="3"/>
      <name val="Calibri Light"/>
      <charset val="134"/>
      <scheme val="major"/>
    </font>
    <font>
      <i/>
      <sz val="9"/>
      <color rgb="FF7F7F7F"/>
      <name val="Arial"/>
      <charset val="134"/>
    </font>
    <font>
      <b/>
      <sz val="15"/>
      <color theme="3"/>
      <name val="Arial"/>
      <charset val="134"/>
    </font>
    <font>
      <b/>
      <sz val="13"/>
      <color theme="3"/>
      <name val="Arial"/>
      <charset val="134"/>
    </font>
    <font>
      <b/>
      <sz val="11"/>
      <color theme="3"/>
      <name val="Arial"/>
      <charset val="134"/>
    </font>
    <font>
      <sz val="9"/>
      <color rgb="FF3F3F76"/>
      <name val="Arial"/>
      <charset val="134"/>
    </font>
    <font>
      <b/>
      <sz val="9"/>
      <color rgb="FF3F3F3F"/>
      <name val="Arial"/>
      <charset val="134"/>
    </font>
    <font>
      <b/>
      <sz val="9"/>
      <color rgb="FFFA7D00"/>
      <name val="Arial"/>
      <charset val="134"/>
    </font>
    <font>
      <b/>
      <sz val="9"/>
      <color theme="0"/>
      <name val="Arial"/>
      <charset val="134"/>
    </font>
    <font>
      <sz val="9"/>
      <color rgb="FFFA7D00"/>
      <name val="Arial"/>
      <charset val="134"/>
    </font>
    <font>
      <sz val="9"/>
      <color rgb="FF006100"/>
      <name val="Arial"/>
      <charset val="134"/>
    </font>
    <font>
      <sz val="9"/>
      <color rgb="FF9C0006"/>
      <name val="Arial"/>
      <charset val="134"/>
    </font>
    <font>
      <sz val="9"/>
      <color rgb="FF9C6500"/>
      <name val="Arial"/>
      <charset val="134"/>
    </font>
    <font>
      <sz val="9"/>
      <color theme="0"/>
      <name val="Arial"/>
      <charset val="134"/>
    </font>
    <font>
      <sz val="10"/>
      <color theme="1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5C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6" borderId="13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14" applyNumberFormat="0" applyFill="0" applyAlignment="0" applyProtection="0"/>
    <xf numFmtId="0" fontId="17" fillId="0" borderId="15" applyNumberFormat="0" applyFill="0" applyAlignment="0" applyProtection="0"/>
    <xf numFmtId="0" fontId="18" fillId="0" borderId="16" applyNumberFormat="0" applyFill="0" applyAlignment="0" applyProtection="0"/>
    <xf numFmtId="0" fontId="18" fillId="0" borderId="0" applyNumberFormat="0" applyFill="0" applyBorder="0" applyAlignment="0" applyProtection="0"/>
    <xf numFmtId="0" fontId="19" fillId="7" borderId="17" applyNumberFormat="0" applyAlignment="0" applyProtection="0"/>
    <xf numFmtId="0" fontId="20" fillId="8" borderId="18" applyNumberFormat="0" applyAlignment="0" applyProtection="0"/>
    <xf numFmtId="0" fontId="21" fillId="8" borderId="17" applyNumberFormat="0" applyAlignment="0" applyProtection="0"/>
    <xf numFmtId="0" fontId="22" fillId="9" borderId="19" applyNumberFormat="0" applyAlignment="0" applyProtection="0"/>
    <xf numFmtId="0" fontId="23" fillId="0" borderId="20" applyNumberFormat="0" applyFill="0" applyAlignment="0" applyProtection="0"/>
    <xf numFmtId="0" fontId="5" fillId="0" borderId="21" applyNumberFormat="0" applyFill="0" applyAlignment="0" applyProtection="0"/>
    <xf numFmtId="0" fontId="24" fillId="10" borderId="0" applyNumberFormat="0" applyBorder="0" applyAlignment="0" applyProtection="0"/>
    <xf numFmtId="0" fontId="25" fillId="11" borderId="0" applyNumberFormat="0" applyBorder="0" applyAlignment="0" applyProtection="0"/>
    <xf numFmtId="0" fontId="26" fillId="12" borderId="0" applyNumberFormat="0" applyBorder="0" applyAlignment="0" applyProtection="0"/>
    <xf numFmtId="0" fontId="27" fillId="13" borderId="0" applyNumberFormat="0" applyBorder="0" applyAlignment="0" applyProtection="0"/>
    <xf numFmtId="0" fontId="0" fillId="4" borderId="0" applyNumberFormat="0" applyBorder="0" applyAlignment="0" applyProtection="0"/>
    <xf numFmtId="0" fontId="0" fillId="14" borderId="0" applyNumberFormat="0" applyBorder="0" applyAlignment="0" applyProtection="0"/>
    <xf numFmtId="0" fontId="27" fillId="15" borderId="0" applyNumberFormat="0" applyBorder="0" applyAlignment="0" applyProtection="0"/>
    <xf numFmtId="0" fontId="27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18" borderId="0" applyNumberFormat="0" applyBorder="0" applyAlignment="0" applyProtection="0"/>
    <xf numFmtId="0" fontId="27" fillId="19" borderId="0" applyNumberFormat="0" applyBorder="0" applyAlignment="0" applyProtection="0"/>
    <xf numFmtId="0" fontId="27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2" borderId="0" applyNumberFormat="0" applyBorder="0" applyAlignment="0" applyProtection="0"/>
    <xf numFmtId="0" fontId="27" fillId="23" borderId="0" applyNumberFormat="0" applyBorder="0" applyAlignment="0" applyProtection="0"/>
    <xf numFmtId="0" fontId="27" fillId="24" borderId="0" applyNumberFormat="0" applyBorder="0" applyAlignment="0" applyProtection="0"/>
    <xf numFmtId="0" fontId="0" fillId="25" borderId="0" applyNumberFormat="0" applyBorder="0" applyAlignment="0" applyProtection="0"/>
    <xf numFmtId="0" fontId="0" fillId="26" borderId="0" applyNumberFormat="0" applyBorder="0" applyAlignment="0" applyProtection="0"/>
    <xf numFmtId="0" fontId="27" fillId="27" borderId="0" applyNumberFormat="0" applyBorder="0" applyAlignment="0" applyProtection="0"/>
    <xf numFmtId="0" fontId="27" fillId="28" borderId="0" applyNumberFormat="0" applyBorder="0" applyAlignment="0" applyProtection="0"/>
    <xf numFmtId="0" fontId="0" fillId="29" borderId="0" applyNumberFormat="0" applyBorder="0" applyAlignment="0" applyProtection="0"/>
    <xf numFmtId="0" fontId="0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32" borderId="0" applyNumberFormat="0" applyBorder="0" applyAlignment="0" applyProtection="0"/>
    <xf numFmtId="0" fontId="0" fillId="33" borderId="0" applyNumberFormat="0" applyBorder="0" applyAlignment="0" applyProtection="0"/>
    <xf numFmtId="0" fontId="0" fillId="34" borderId="0" applyNumberFormat="0" applyBorder="0" applyAlignment="0" applyProtection="0"/>
    <xf numFmtId="0" fontId="27" fillId="35" borderId="0" applyNumberFormat="0" applyBorder="0" applyAlignment="0" applyProtection="0"/>
  </cellStyleXfs>
  <cellXfs count="58">
    <xf numFmtId="0" fontId="0" fillId="0" borderId="0" xfId="0"/>
    <xf numFmtId="0" fontId="0" fillId="0" borderId="0" xfId="0" applyAlignment="1">
      <alignment vertical="center"/>
    </xf>
    <xf numFmtId="0" fontId="0" fillId="0" borderId="0" xfId="0" applyFill="1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5" xfId="0" applyFont="1" applyBorder="1"/>
    <xf numFmtId="0" fontId="7" fillId="0" borderId="6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5" fillId="0" borderId="8" xfId="0" applyFont="1" applyBorder="1"/>
    <xf numFmtId="0" fontId="7" fillId="0" borderId="8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5" fillId="0" borderId="3" xfId="0" applyFont="1" applyFill="1" applyBorder="1"/>
    <xf numFmtId="0" fontId="7" fillId="0" borderId="3" xfId="0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1" fillId="3" borderId="2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5" fillId="4" borderId="0" xfId="0" applyFont="1" applyFill="1"/>
    <xf numFmtId="0" fontId="5" fillId="5" borderId="0" xfId="0" applyFont="1" applyFill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/>
    </xf>
    <xf numFmtId="0" fontId="0" fillId="0" borderId="7" xfId="0" applyNumberFormat="1" applyFont="1" applyFill="1" applyBorder="1" applyAlignment="1">
      <alignment horizontal="center" vertical="center"/>
    </xf>
    <xf numFmtId="176" fontId="0" fillId="0" borderId="6" xfId="0" applyNumberFormat="1" applyFont="1" applyFill="1" applyBorder="1" applyAlignment="1">
      <alignment horizontal="center" vertical="center"/>
    </xf>
    <xf numFmtId="0" fontId="0" fillId="0" borderId="5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horizontal="center" vertical="center"/>
    </xf>
    <xf numFmtId="176" fontId="0" fillId="0" borderId="5" xfId="0" applyNumberFormat="1" applyFont="1" applyFill="1" applyBorder="1" applyAlignment="1">
      <alignment horizontal="center" vertical="center"/>
    </xf>
    <xf numFmtId="0" fontId="0" fillId="0" borderId="8" xfId="0" applyNumberFormat="1" applyFont="1" applyFill="1" applyBorder="1" applyAlignment="1">
      <alignment horizontal="center" vertical="center"/>
    </xf>
    <xf numFmtId="0" fontId="0" fillId="0" borderId="9" xfId="0" applyNumberFormat="1" applyFont="1" applyFill="1" applyBorder="1" applyAlignment="1">
      <alignment horizontal="center" vertical="center"/>
    </xf>
    <xf numFmtId="176" fontId="0" fillId="0" borderId="8" xfId="0" applyNumberFormat="1" applyFont="1" applyFill="1" applyBorder="1" applyAlignment="1">
      <alignment horizontal="center" vertical="center"/>
    </xf>
    <xf numFmtId="176" fontId="5" fillId="0" borderId="3" xfId="0" applyNumberFormat="1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176" fontId="0" fillId="0" borderId="10" xfId="0" applyNumberFormat="1" applyFont="1" applyFill="1" applyBorder="1" applyAlignment="1">
      <alignment horizontal="center" vertical="center"/>
    </xf>
    <xf numFmtId="176" fontId="0" fillId="0" borderId="12" xfId="0" applyNumberFormat="1" applyFont="1" applyFill="1" applyBorder="1" applyAlignment="1">
      <alignment horizontal="center" vertical="center"/>
    </xf>
    <xf numFmtId="176" fontId="0" fillId="0" borderId="11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font>
        <b val="1"/>
        <i val="0"/>
      </font>
      <fill>
        <patternFill patternType="solid">
          <bgColor rgb="FFFBC5C5"/>
        </patternFill>
      </fill>
    </dxf>
    <dxf>
      <font>
        <b val="1"/>
        <i val="0"/>
      </font>
      <fill>
        <patternFill patternType="solid">
          <bgColor rgb="FFDDEBF7"/>
        </patternFill>
      </fill>
    </dxf>
  </dxfs>
  <tableStyles count="0" defaultTableStyle="TableStyleMedium2" defaultPivotStyle="PivotStyleLight16"/>
  <colors>
    <mruColors>
      <color rgb="00FFC5C5"/>
      <color rgb="00FFB9B9"/>
      <color rgb="00FFABAB"/>
      <color rgb="009E480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08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altLang="en-US" sz="1080"/>
              <a:t>True positive</a:t>
            </a:r>
            <a:endParaRPr lang="fr-FR" altLang="en-US" sz="108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"BWA"</c:f>
              <c:strCache>
                <c:ptCount val="1"/>
                <c:pt idx="0">
                  <c:v>BWA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giab_comparaison_RENOME_V5_Hg19!$A$7:$A$14</c15:sqref>
                  </c15:fullRef>
                </c:ext>
              </c:extLst>
              <c:f>(giab_comparaison_RENOME_V5_Hg19!$A$7:$A$11,giab_comparaison_RENOME_V5_Hg19!$A$13:$A$14)</c:f>
              <c:strCache>
                <c:ptCount val="7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at least 1 caller</c:v>
                </c:pt>
                <c:pt idx="6">
                  <c:v>all 5 callers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giab_comparaison_RENOME_V5_Hg19!$E$7:$E$14</c15:sqref>
                  </c15:fullRef>
                </c:ext>
              </c:extLst>
              <c:f>(giab_comparaison_RENOME_V5_Hg19!$E$7:$E$11,giab_comparaison_RENOME_V5_Hg19!$E$13:$E$14)</c:f>
              <c:numCache>
                <c:formatCode>General</c:formatCode>
                <c:ptCount val="7"/>
                <c:pt idx="0">
                  <c:v>1054</c:v>
                </c:pt>
                <c:pt idx="1">
                  <c:v>1053</c:v>
                </c:pt>
                <c:pt idx="2">
                  <c:v>1056</c:v>
                </c:pt>
                <c:pt idx="3">
                  <c:v>1050</c:v>
                </c:pt>
                <c:pt idx="4">
                  <c:v>1056</c:v>
                </c:pt>
                <c:pt idx="5">
                  <c:v>1056</c:v>
                </c:pt>
                <c:pt idx="6">
                  <c:v>1050</c:v>
                </c:pt>
              </c:numCache>
            </c:numRef>
          </c:val>
        </c:ser>
        <c:ser>
          <c:idx val="1"/>
          <c:order val="1"/>
          <c:tx>
            <c:strRef>
              <c:f>"Dragen-align"</c:f>
              <c:strCache>
                <c:ptCount val="1"/>
                <c:pt idx="0">
                  <c:v>Dragen-align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giab_comparaison_RENOME_V5_Hg19!$A$7:$A$14</c15:sqref>
                  </c15:fullRef>
                </c:ext>
              </c:extLst>
              <c:f>(giab_comparaison_RENOME_V5_Hg19!$A$7:$A$11,giab_comparaison_RENOME_V5_Hg19!$A$13:$A$14)</c:f>
              <c:strCache>
                <c:ptCount val="7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at least 1 caller</c:v>
                </c:pt>
                <c:pt idx="6">
                  <c:v>all 5 callers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giab_comparaison_RENOME_V5_Hg19!$V$7:$V$14</c15:sqref>
                  </c15:fullRef>
                </c:ext>
              </c:extLst>
              <c:f>(giab_comparaison_RENOME_V5_Hg19!$V$7:$V$11,giab_comparaison_RENOME_V5_Hg19!$V$13:$V$14)</c:f>
              <c:numCache>
                <c:formatCode>General</c:formatCode>
                <c:ptCount val="7"/>
                <c:pt idx="0">
                  <c:v>1056</c:v>
                </c:pt>
                <c:pt idx="1">
                  <c:v>1054</c:v>
                </c:pt>
                <c:pt idx="2">
                  <c:v>1056</c:v>
                </c:pt>
                <c:pt idx="3">
                  <c:v>1052</c:v>
                </c:pt>
                <c:pt idx="4">
                  <c:v>1056</c:v>
                </c:pt>
                <c:pt idx="5">
                  <c:v>1056</c:v>
                </c:pt>
                <c:pt idx="6">
                  <c:v>1052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100171056"/>
        <c:axId val="719256486"/>
      </c:barChart>
      <c:catAx>
        <c:axId val="1001710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9256486"/>
        <c:crosses val="autoZero"/>
        <c:auto val="1"/>
        <c:lblAlgn val="ctr"/>
        <c:lblOffset val="100"/>
        <c:noMultiLvlLbl val="0"/>
      </c:catAx>
      <c:valAx>
        <c:axId val="71925648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0171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0d5590c-f0a8-4529-a263-8a70ba622213}"/>
      </c:ext>
    </c:extLst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prstDash val="solid"/>
      <a:round/>
    </a:ln>
    <a:effectLst/>
  </c:spPr>
  <c:txPr>
    <a:bodyPr/>
    <a:lstStyle/>
    <a:p>
      <a:pPr>
        <a:defRPr lang="en-US" sz="900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08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altLang="en-US" sz="1080"/>
              <a:t>False positive</a:t>
            </a:r>
            <a:endParaRPr lang="fr-FR" altLang="en-US" sz="108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"BWA"</c:f>
              <c:strCache>
                <c:ptCount val="1"/>
                <c:pt idx="0">
                  <c:v>BWA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giab_comparaison_RENOME_V5_Hg19!$A$7:$A$14</c15:sqref>
                  </c15:fullRef>
                </c:ext>
              </c:extLst>
              <c:f>(giab_comparaison_RENOME_V5_Hg19!$A$7:$A$11,giab_comparaison_RENOME_V5_Hg19!$A$13:$A$14)</c:f>
              <c:strCache>
                <c:ptCount val="7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at least 1 caller</c:v>
                </c:pt>
                <c:pt idx="6">
                  <c:v>all 5 callers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giab_comparaison_RENOME_V5_Hg19!$F$7:$F$14</c15:sqref>
                  </c15:fullRef>
                </c:ext>
              </c:extLst>
              <c:f>(giab_comparaison_RENOME_V5_Hg19!$F$7:$F$11,giab_comparaison_RENOME_V5_Hg19!$F$13:$F$14)</c:f>
              <c:numCache>
                <c:formatCode>General</c:formatCode>
                <c:ptCount val="7"/>
                <c:pt idx="0">
                  <c:v>2</c:v>
                </c:pt>
                <c:pt idx="1">
                  <c:v>21</c:v>
                </c:pt>
                <c:pt idx="2">
                  <c:v>10</c:v>
                </c:pt>
                <c:pt idx="3">
                  <c:v>3</c:v>
                </c:pt>
                <c:pt idx="4">
                  <c:v>47</c:v>
                </c:pt>
                <c:pt idx="5">
                  <c:v>61</c:v>
                </c:pt>
              </c:numCache>
            </c:numRef>
          </c:val>
        </c:ser>
        <c:ser>
          <c:idx val="1"/>
          <c:order val="1"/>
          <c:tx>
            <c:strRef>
              <c:f>"Dragen-align"</c:f>
              <c:strCache>
                <c:ptCount val="1"/>
                <c:pt idx="0">
                  <c:v>Dragen-align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giab_comparaison_RENOME_V5_Hg19!$A$7:$A$14</c15:sqref>
                  </c15:fullRef>
                </c:ext>
              </c:extLst>
              <c:f>(giab_comparaison_RENOME_V5_Hg19!$A$7:$A$11,giab_comparaison_RENOME_V5_Hg19!$A$13:$A$14)</c:f>
              <c:strCache>
                <c:ptCount val="7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at least 1 caller</c:v>
                </c:pt>
                <c:pt idx="6">
                  <c:v>all 5 callers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giab_comparaison_RENOME_V5_Hg19!$W$7:$W$14</c15:sqref>
                  </c15:fullRef>
                </c:ext>
              </c:extLst>
              <c:f>(giab_comparaison_RENOME_V5_Hg19!$W$7:$W$11,giab_comparaison_RENOME_V5_Hg19!$W$13:$W$14)</c:f>
              <c:numCache>
                <c:formatCode>General</c:formatCode>
                <c:ptCount val="7"/>
                <c:pt idx="0">
                  <c:v>2</c:v>
                </c:pt>
                <c:pt idx="1">
                  <c:v>24</c:v>
                </c:pt>
                <c:pt idx="2">
                  <c:v>8</c:v>
                </c:pt>
                <c:pt idx="3">
                  <c:v>6</c:v>
                </c:pt>
                <c:pt idx="4">
                  <c:v>35</c:v>
                </c:pt>
                <c:pt idx="5">
                  <c:v>46</c:v>
                </c:pt>
                <c:pt idx="6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100171056"/>
        <c:axId val="719256486"/>
      </c:barChart>
      <c:catAx>
        <c:axId val="1001710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9256486"/>
        <c:crosses val="autoZero"/>
        <c:auto val="1"/>
        <c:lblAlgn val="ctr"/>
        <c:lblOffset val="100"/>
        <c:noMultiLvlLbl val="0"/>
      </c:catAx>
      <c:valAx>
        <c:axId val="71925648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0171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98753f8-f7f9-4f63-a0a9-f3a3bd6ca3c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08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altLang="en-US" sz="1080"/>
              <a:t>False Negative</a:t>
            </a:r>
            <a:endParaRPr lang="fr-FR" altLang="en-US" sz="108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"BWA"</c:f>
              <c:strCache>
                <c:ptCount val="1"/>
                <c:pt idx="0">
                  <c:v>BWA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giab_comparaison_RENOME_V5_Hg19!$A$7:$A$14</c15:sqref>
                  </c15:fullRef>
                </c:ext>
              </c:extLst>
              <c:f>(giab_comparaison_RENOME_V5_Hg19!$A$7:$A$11,giab_comparaison_RENOME_V5_Hg19!$A$13:$A$14)</c:f>
              <c:strCache>
                <c:ptCount val="7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at least 1 caller</c:v>
                </c:pt>
                <c:pt idx="6">
                  <c:v>all 5 callers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giab_comparaison_RENOME_V5_Hg19!$G$7:$G$14</c15:sqref>
                  </c15:fullRef>
                </c:ext>
              </c:extLst>
              <c:f>(giab_comparaison_RENOME_V5_Hg19!$G$7:$G$11,giab_comparaison_RENOME_V5_Hg19!$G$13:$G$14)</c:f>
              <c:numCache>
                <c:formatCode>General</c:formatCode>
                <c:ptCount val="7"/>
                <c:pt idx="0">
                  <c:v>3</c:v>
                </c:pt>
                <c:pt idx="1">
                  <c:v>5</c:v>
                </c:pt>
                <c:pt idx="2">
                  <c:v>1</c:v>
                </c:pt>
                <c:pt idx="3">
                  <c:v>8</c:v>
                </c:pt>
                <c:pt idx="4">
                  <c:v>2</c:v>
                </c:pt>
                <c:pt idx="5">
                  <c:v>8</c:v>
                </c:pt>
                <c:pt idx="6">
                  <c:v>1</c:v>
                </c:pt>
              </c:numCache>
            </c:numRef>
          </c:val>
        </c:ser>
        <c:ser>
          <c:idx val="1"/>
          <c:order val="1"/>
          <c:tx>
            <c:strRef>
              <c:f>"Dragen-align"</c:f>
              <c:strCache>
                <c:ptCount val="1"/>
                <c:pt idx="0">
                  <c:v>Dragen-align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giab_comparaison_RENOME_V5_Hg19!$A$7:$A$14</c15:sqref>
                  </c15:fullRef>
                </c:ext>
              </c:extLst>
              <c:f>(giab_comparaison_RENOME_V5_Hg19!$A$7:$A$11,giab_comparaison_RENOME_V5_Hg19!$A$13:$A$14)</c:f>
              <c:strCache>
                <c:ptCount val="7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at least 1 caller</c:v>
                </c:pt>
                <c:pt idx="6">
                  <c:v>all 5 callers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giab_comparaison_RENOME_V5_Hg19!$X$7:$X$14</c15:sqref>
                  </c15:fullRef>
                </c:ext>
              </c:extLst>
              <c:f>(giab_comparaison_RENOME_V5_Hg19!$X$7:$X$11,giab_comparaison_RENOME_V5_Hg19!$X$13:$X$14)</c:f>
              <c:numCache>
                <c:formatCode>General</c:formatCode>
                <c:ptCount val="7"/>
                <c:pt idx="0">
                  <c:v>0</c:v>
                </c:pt>
                <c:pt idx="1">
                  <c:v>4</c:v>
                </c:pt>
                <c:pt idx="2">
                  <c:v>1</c:v>
                </c:pt>
                <c:pt idx="3">
                  <c:v>6</c:v>
                </c:pt>
                <c:pt idx="4">
                  <c:v>2</c:v>
                </c:pt>
                <c:pt idx="5">
                  <c:v>6</c:v>
                </c:pt>
                <c:pt idx="6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100171056"/>
        <c:axId val="719256486"/>
      </c:barChart>
      <c:catAx>
        <c:axId val="1001710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9256486"/>
        <c:crosses val="autoZero"/>
        <c:auto val="1"/>
        <c:lblAlgn val="ctr"/>
        <c:lblOffset val="100"/>
        <c:noMultiLvlLbl val="0"/>
      </c:catAx>
      <c:valAx>
        <c:axId val="71925648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0171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98753f8-f7f9-4f63-a0a9-f3a3bd6ca3c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08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altLang="en-US" sz="1080"/>
              <a:t>Accuracy</a:t>
            </a:r>
            <a:endParaRPr lang="fr-FR" altLang="en-US" sz="108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"BWA"</c:f>
              <c:strCache>
                <c:ptCount val="1"/>
                <c:pt idx="0">
                  <c:v>BWA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giab_comparaison_RENOME_V5_Hg19!$A$7:$A$14</c15:sqref>
                  </c15:fullRef>
                </c:ext>
              </c:extLst>
              <c:f>(giab_comparaison_RENOME_V5_Hg19!$A$7:$A$11,giab_comparaison_RENOME_V5_Hg19!$A$13:$A$14)</c:f>
              <c:strCache>
                <c:ptCount val="7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at least 1 caller</c:v>
                </c:pt>
                <c:pt idx="6">
                  <c:v>all 5 callers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giab_comparaison_RENOME_V5_Hg19!$H$7:$H$14</c15:sqref>
                  </c15:fullRef>
                </c:ext>
              </c:extLst>
              <c:f>(giab_comparaison_RENOME_V5_Hg19!$H$7:$H$11,giab_comparaison_RENOME_V5_Hg19!$H$13:$H$14)</c:f>
              <c:numCache>
                <c:formatCode>0.000_ </c:formatCode>
                <c:ptCount val="7"/>
                <c:pt idx="0">
                  <c:v>0.998106060606061</c:v>
                </c:pt>
                <c:pt idx="1">
                  <c:v>0.980446927374302</c:v>
                </c:pt>
                <c:pt idx="2">
                  <c:v>0.9906191369606</c:v>
                </c:pt>
                <c:pt idx="3">
                  <c:v>0.997150997150997</c:v>
                </c:pt>
                <c:pt idx="4">
                  <c:v>0.957388939256573</c:v>
                </c:pt>
                <c:pt idx="5">
                  <c:v>0.945389435989257</c:v>
                </c:pt>
                <c:pt idx="6">
                  <c:v>1</c:v>
                </c:pt>
              </c:numCache>
            </c:numRef>
          </c:val>
        </c:ser>
        <c:ser>
          <c:idx val="1"/>
          <c:order val="1"/>
          <c:tx>
            <c:strRef>
              <c:f>"Dragen-align"</c:f>
              <c:strCache>
                <c:ptCount val="1"/>
                <c:pt idx="0">
                  <c:v>Dragen-align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giab_comparaison_RENOME_V5_Hg19!$A$7:$A$14</c15:sqref>
                  </c15:fullRef>
                </c:ext>
              </c:extLst>
              <c:f>(giab_comparaison_RENOME_V5_Hg19!$A$7:$A$11,giab_comparaison_RENOME_V5_Hg19!$A$13:$A$14)</c:f>
              <c:strCache>
                <c:ptCount val="7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at least 1 caller</c:v>
                </c:pt>
                <c:pt idx="6">
                  <c:v>all 5 callers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giab_comparaison_RENOME_V5_Hg19!$Y$7:$Y$14</c15:sqref>
                  </c15:fullRef>
                </c:ext>
              </c:extLst>
              <c:f>(giab_comparaison_RENOME_V5_Hg19!$Y$7:$Y$11,giab_comparaison_RENOME_V5_Hg19!$Y$13:$Y$14)</c:f>
              <c:numCache>
                <c:formatCode>0.000_ </c:formatCode>
                <c:ptCount val="7"/>
                <c:pt idx="0">
                  <c:v>0.998109640831758</c:v>
                </c:pt>
                <c:pt idx="1">
                  <c:v>0.977736549165121</c:v>
                </c:pt>
                <c:pt idx="2">
                  <c:v>0.992481203007519</c:v>
                </c:pt>
                <c:pt idx="3">
                  <c:v>0.994328922495274</c:v>
                </c:pt>
                <c:pt idx="4">
                  <c:v>0.967919340054995</c:v>
                </c:pt>
                <c:pt idx="5">
                  <c:v>0.958257713248639</c:v>
                </c:pt>
                <c:pt idx="6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100171056"/>
        <c:axId val="719256486"/>
      </c:barChart>
      <c:catAx>
        <c:axId val="1001710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9256486"/>
        <c:crosses val="autoZero"/>
        <c:auto val="1"/>
        <c:lblAlgn val="ctr"/>
        <c:lblOffset val="100"/>
        <c:noMultiLvlLbl val="0"/>
      </c:catAx>
      <c:valAx>
        <c:axId val="71925648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_);[Red]\(0.0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0171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98753f8-f7f9-4f63-a0a9-f3a3bd6ca3c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/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08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altLang="en-US" sz="1080"/>
              <a:t>Sensitivity</a:t>
            </a:r>
            <a:endParaRPr lang="fr-FR" altLang="en-US" sz="108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"BWA"</c:f>
              <c:strCache>
                <c:ptCount val="1"/>
                <c:pt idx="0">
                  <c:v>BWA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giab_comparaison_RENOME_V5_Hg19!$A$7:$A$14</c15:sqref>
                  </c15:fullRef>
                </c:ext>
              </c:extLst>
              <c:f>(giab_comparaison_RENOME_V5_Hg19!$A$7:$A$11,giab_comparaison_RENOME_V5_Hg19!$A$13:$A$14)</c:f>
              <c:strCache>
                <c:ptCount val="7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at least 1 caller</c:v>
                </c:pt>
                <c:pt idx="6">
                  <c:v>all 5 callers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giab_comparaison_RENOME_V5_Hg19!$I$7:$I$14</c15:sqref>
                  </c15:fullRef>
                </c:ext>
              </c:extLst>
              <c:f>(giab_comparaison_RENOME_V5_Hg19!$I$7:$I$11,giab_comparaison_RENOME_V5_Hg19!$I$13:$I$14)</c:f>
              <c:numCache>
                <c:formatCode>0.000_ </c:formatCode>
                <c:ptCount val="7"/>
                <c:pt idx="0">
                  <c:v>0.997161778618732</c:v>
                </c:pt>
                <c:pt idx="1">
                  <c:v>0.995274102079395</c:v>
                </c:pt>
                <c:pt idx="2">
                  <c:v>0.999053926206244</c:v>
                </c:pt>
                <c:pt idx="3">
                  <c:v>0.992438563327032</c:v>
                </c:pt>
                <c:pt idx="4">
                  <c:v>0.998109640831758</c:v>
                </c:pt>
                <c:pt idx="5">
                  <c:v>0.992481203007519</c:v>
                </c:pt>
                <c:pt idx="6">
                  <c:v>0.999048525214082</c:v>
                </c:pt>
              </c:numCache>
            </c:numRef>
          </c:val>
        </c:ser>
        <c:ser>
          <c:idx val="1"/>
          <c:order val="1"/>
          <c:tx>
            <c:strRef>
              <c:f>"Drangen-align"</c:f>
              <c:strCache>
                <c:ptCount val="1"/>
                <c:pt idx="0">
                  <c:v>Drangen-align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giab_comparaison_RENOME_V5_Hg19!$A$7:$A$14</c15:sqref>
                  </c15:fullRef>
                </c:ext>
              </c:extLst>
              <c:f>(giab_comparaison_RENOME_V5_Hg19!$A$7:$A$11,giab_comparaison_RENOME_V5_Hg19!$A$13:$A$14)</c:f>
              <c:strCache>
                <c:ptCount val="7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at least 1 caller</c:v>
                </c:pt>
                <c:pt idx="6">
                  <c:v>all 5 callers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giab_comparaison_RENOME_V5_Hg19!$Z$7:$Z$14</c15:sqref>
                  </c15:fullRef>
                </c:ext>
              </c:extLst>
              <c:f>(giab_comparaison_RENOME_V5_Hg19!$Z$7:$Z$11,giab_comparaison_RENOME_V5_Hg19!$Z$13:$Z$14)</c:f>
              <c:numCache>
                <c:formatCode>0.000_ </c:formatCode>
                <c:ptCount val="7"/>
                <c:pt idx="0">
                  <c:v>1</c:v>
                </c:pt>
                <c:pt idx="1">
                  <c:v>0.996219281663516</c:v>
                </c:pt>
                <c:pt idx="2">
                  <c:v>0.999053926206244</c:v>
                </c:pt>
                <c:pt idx="3">
                  <c:v>0.994328922495274</c:v>
                </c:pt>
                <c:pt idx="4">
                  <c:v>0.998109640831758</c:v>
                </c:pt>
                <c:pt idx="5">
                  <c:v>0.994350282485876</c:v>
                </c:pt>
                <c:pt idx="6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100171056"/>
        <c:axId val="719256486"/>
      </c:barChart>
      <c:catAx>
        <c:axId val="1001710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9256486"/>
        <c:crosses val="autoZero"/>
        <c:auto val="1"/>
        <c:lblAlgn val="ctr"/>
        <c:lblOffset val="100"/>
        <c:noMultiLvlLbl val="0"/>
      </c:catAx>
      <c:valAx>
        <c:axId val="71925648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_);[Red]\(0.00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0171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98753f8-f7f9-4f63-a0a9-f3a3bd6ca3c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/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08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altLang="en-US" sz="1080"/>
              <a:t>True positive</a:t>
            </a:r>
            <a:endParaRPr lang="fr-FR" altLang="en-US" sz="108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"BWA"</c:f>
              <c:strCache>
                <c:ptCount val="1"/>
                <c:pt idx="0">
                  <c:v>BWA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giab_comparaison_RENOME_V5_Hg19!$A$7:$A$14</c15:sqref>
                  </c15:fullRef>
                </c:ext>
              </c:extLst>
              <c:f>(giab_comparaison_RENOME_V5_Hg19!$A$7:$A$11,giab_comparaison_RENOME_V5_Hg19!$A$13:$A$14)</c:f>
              <c:strCache>
                <c:ptCount val="7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at least 1 caller</c:v>
                </c:pt>
                <c:pt idx="6">
                  <c:v>all 5 callers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giab_comparaison_RENOME_V5_Hg19!$J$7:$J$14</c15:sqref>
                  </c15:fullRef>
                </c:ext>
              </c:extLst>
              <c:f>(giab_comparaison_RENOME_V5_Hg19!$J$7:$J$11,giab_comparaison_RENOME_V5_Hg19!$J$13:$J$14)</c:f>
              <c:numCache>
                <c:formatCode>General</c:formatCode>
                <c:ptCount val="7"/>
                <c:pt idx="0">
                  <c:v>122</c:v>
                </c:pt>
                <c:pt idx="1">
                  <c:v>90</c:v>
                </c:pt>
                <c:pt idx="2">
                  <c:v>121</c:v>
                </c:pt>
                <c:pt idx="3">
                  <c:v>64</c:v>
                </c:pt>
                <c:pt idx="4">
                  <c:v>122</c:v>
                </c:pt>
                <c:pt idx="5">
                  <c:v>125</c:v>
                </c:pt>
                <c:pt idx="6">
                  <c:v>42</c:v>
                </c:pt>
              </c:numCache>
            </c:numRef>
          </c:val>
        </c:ser>
        <c:ser>
          <c:idx val="1"/>
          <c:order val="1"/>
          <c:tx>
            <c:strRef>
              <c:f>"Dragen-align"</c:f>
              <c:strCache>
                <c:ptCount val="1"/>
                <c:pt idx="0">
                  <c:v>Dragen-align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giab_comparaison_RENOME_V5_Hg19!$A$7:$A$14</c15:sqref>
                  </c15:fullRef>
                </c:ext>
              </c:extLst>
              <c:f>(giab_comparaison_RENOME_V5_Hg19!$A$7:$A$11,giab_comparaison_RENOME_V5_Hg19!$A$13:$A$14)</c:f>
              <c:strCache>
                <c:ptCount val="7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at least 1 caller</c:v>
                </c:pt>
                <c:pt idx="6">
                  <c:v>all 5 callers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giab_comparaison_RENOME_V5_Hg19!$AA$7:$AA$14</c15:sqref>
                  </c15:fullRef>
                </c:ext>
              </c:extLst>
              <c:f>(giab_comparaison_RENOME_V5_Hg19!$AA$7:$AA$11,giab_comparaison_RENOME_V5_Hg19!$AA$13:$AA$14)</c:f>
              <c:numCache>
                <c:formatCode>General</c:formatCode>
                <c:ptCount val="7"/>
                <c:pt idx="0">
                  <c:v>121</c:v>
                </c:pt>
                <c:pt idx="1">
                  <c:v>90</c:v>
                </c:pt>
                <c:pt idx="2">
                  <c:v>121</c:v>
                </c:pt>
                <c:pt idx="3">
                  <c:v>63</c:v>
                </c:pt>
                <c:pt idx="4">
                  <c:v>121</c:v>
                </c:pt>
                <c:pt idx="5">
                  <c:v>124</c:v>
                </c:pt>
                <c:pt idx="6">
                  <c:v>43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100171056"/>
        <c:axId val="719256486"/>
      </c:barChart>
      <c:catAx>
        <c:axId val="1001710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9256486"/>
        <c:crosses val="autoZero"/>
        <c:auto val="1"/>
        <c:lblAlgn val="ctr"/>
        <c:lblOffset val="100"/>
        <c:noMultiLvlLbl val="0"/>
      </c:catAx>
      <c:valAx>
        <c:axId val="71925648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0171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0d5590c-f0a8-4529-a263-8a70ba622213}"/>
      </c:ext>
    </c:extLst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prstDash val="solid"/>
      <a:round/>
    </a:ln>
    <a:effectLst/>
  </c:spPr>
  <c:txPr>
    <a:bodyPr/>
    <a:lstStyle/>
    <a:p>
      <a:pPr>
        <a:defRPr lang="en-US" sz="900"/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08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altLang="en-US" sz="1080"/>
              <a:t>False positive</a:t>
            </a:r>
            <a:endParaRPr lang="fr-FR" altLang="en-US" sz="108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"BWA"</c:f>
              <c:strCache>
                <c:ptCount val="1"/>
                <c:pt idx="0">
                  <c:v>BWA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giab_comparaison_RENOME_V5_Hg19!$A$7:$A$14</c15:sqref>
                  </c15:fullRef>
                </c:ext>
              </c:extLst>
              <c:f>(giab_comparaison_RENOME_V5_Hg19!$A$7:$A$11,giab_comparaison_RENOME_V5_Hg19!$A$13:$A$14)</c:f>
              <c:strCache>
                <c:ptCount val="7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at least 1 caller</c:v>
                </c:pt>
                <c:pt idx="6">
                  <c:v>all 5 callers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giab_comparaison_RENOME_V5_Hg19!$K$7:$K$14</c15:sqref>
                  </c15:fullRef>
                </c:ext>
              </c:extLst>
              <c:f>(giab_comparaison_RENOME_V5_Hg19!$K$7:$K$11,giab_comparaison_RENOME_V5_Hg19!$K$13:$K$14)</c:f>
              <c:numCache>
                <c:formatCode>General</c:formatCode>
                <c:ptCount val="7"/>
                <c:pt idx="0">
                  <c:v>3</c:v>
                </c:pt>
                <c:pt idx="1">
                  <c:v>50</c:v>
                </c:pt>
                <c:pt idx="2">
                  <c:v>88</c:v>
                </c:pt>
                <c:pt idx="3">
                  <c:v>15</c:v>
                </c:pt>
                <c:pt idx="4">
                  <c:v>75</c:v>
                </c:pt>
                <c:pt idx="5">
                  <c:v>138</c:v>
                </c:pt>
              </c:numCache>
            </c:numRef>
          </c:val>
        </c:ser>
        <c:ser>
          <c:idx val="1"/>
          <c:order val="1"/>
          <c:tx>
            <c:strRef>
              <c:f>"Dragen-align"</c:f>
              <c:strCache>
                <c:ptCount val="1"/>
                <c:pt idx="0">
                  <c:v>Dragen-align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giab_comparaison_RENOME_V5_Hg19!$A$7:$A$14</c15:sqref>
                  </c15:fullRef>
                </c:ext>
              </c:extLst>
              <c:f>(giab_comparaison_RENOME_V5_Hg19!$A$7:$A$11,giab_comparaison_RENOME_V5_Hg19!$A$13:$A$14)</c:f>
              <c:strCache>
                <c:ptCount val="7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at least 1 caller</c:v>
                </c:pt>
                <c:pt idx="6">
                  <c:v>all 5 callers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giab_comparaison_RENOME_V5_Hg19!$AB$7:$AB$14</c15:sqref>
                  </c15:fullRef>
                </c:ext>
              </c:extLst>
              <c:f>(giab_comparaison_RENOME_V5_Hg19!$AB$7:$AB$11,giab_comparaison_RENOME_V5_Hg19!$AB$13:$AB$14)</c:f>
              <c:numCache>
                <c:formatCode>General</c:formatCode>
                <c:ptCount val="7"/>
                <c:pt idx="0">
                  <c:v>6</c:v>
                </c:pt>
                <c:pt idx="1">
                  <c:v>54</c:v>
                </c:pt>
                <c:pt idx="2">
                  <c:v>83</c:v>
                </c:pt>
                <c:pt idx="3">
                  <c:v>15</c:v>
                </c:pt>
                <c:pt idx="4">
                  <c:v>80</c:v>
                </c:pt>
                <c:pt idx="5">
                  <c:v>141</c:v>
                </c:pt>
                <c:pt idx="6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100171056"/>
        <c:axId val="719256486"/>
      </c:barChart>
      <c:catAx>
        <c:axId val="1001710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9256486"/>
        <c:crosses val="autoZero"/>
        <c:auto val="1"/>
        <c:lblAlgn val="ctr"/>
        <c:lblOffset val="100"/>
        <c:noMultiLvlLbl val="0"/>
      </c:catAx>
      <c:valAx>
        <c:axId val="71925648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0171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98753f8-f7f9-4f63-a0a9-f3a3bd6ca3c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/>
      </a:pPr>
    </a:p>
  </c:txPr>
  <c:externalData r:id="rId1">
    <c:autoUpdate val="0"/>
  </c:externalData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altLang="en-US"/>
              <a:t>False Negative</a:t>
            </a:r>
            <a:endParaRPr lang="fr-FR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"BWA"</c:f>
              <c:strCache>
                <c:ptCount val="1"/>
                <c:pt idx="0">
                  <c:v>BWA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giab_comparaison_RENOME_V5_Hg19!$A$7:$A$14</c15:sqref>
                  </c15:fullRef>
                </c:ext>
              </c:extLst>
              <c:f>(giab_comparaison_RENOME_V5_Hg19!$A$7:$A$11,giab_comparaison_RENOME_V5_Hg19!$A$13:$A$14)</c:f>
              <c:strCache>
                <c:ptCount val="7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at least 1 caller</c:v>
                </c:pt>
                <c:pt idx="6">
                  <c:v>all 5 callers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giab_comparaison_RENOME_V5_Hg19!$L$7:$L$14</c15:sqref>
                  </c15:fullRef>
                </c:ext>
              </c:extLst>
              <c:f>(giab_comparaison_RENOME_V5_Hg19!$L$7:$L$11,giab_comparaison_RENOME_V5_Hg19!$L$13:$L$14)</c:f>
              <c:numCache>
                <c:formatCode>General</c:formatCode>
                <c:ptCount val="7"/>
                <c:pt idx="0">
                  <c:v>6</c:v>
                </c:pt>
                <c:pt idx="1">
                  <c:v>39</c:v>
                </c:pt>
                <c:pt idx="2">
                  <c:v>8</c:v>
                </c:pt>
                <c:pt idx="3">
                  <c:v>65</c:v>
                </c:pt>
                <c:pt idx="4">
                  <c:v>7</c:v>
                </c:pt>
                <c:pt idx="5">
                  <c:v>87</c:v>
                </c:pt>
                <c:pt idx="6">
                  <c:v>3</c:v>
                </c:pt>
              </c:numCache>
            </c:numRef>
          </c:val>
        </c:ser>
        <c:ser>
          <c:idx val="1"/>
          <c:order val="1"/>
          <c:tx>
            <c:strRef>
              <c:f>"Dragen-align"</c:f>
              <c:strCache>
                <c:ptCount val="1"/>
                <c:pt idx="0">
                  <c:v>Dragen-align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giab_comparaison_RENOME_V5_Hg19!$A$7:$A$14</c15:sqref>
                  </c15:fullRef>
                </c:ext>
              </c:extLst>
              <c:f>(giab_comparaison_RENOME_V5_Hg19!$A$7:$A$11,giab_comparaison_RENOME_V5_Hg19!$A$13:$A$14)</c:f>
              <c:strCache>
                <c:ptCount val="7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at least 1 caller</c:v>
                </c:pt>
                <c:pt idx="6">
                  <c:v>all 5 callers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giab_comparaison_RENOME_V5_Hg19!$AC$7:$AC$14</c15:sqref>
                  </c15:fullRef>
                </c:ext>
              </c:extLst>
              <c:f>(giab_comparaison_RENOME_V5_Hg19!$AC$7:$AC$11,giab_comparaison_RENOME_V5_Hg19!$AC$13:$AC$14)</c:f>
              <c:numCache>
                <c:formatCode>General</c:formatCode>
                <c:ptCount val="7"/>
                <c:pt idx="0">
                  <c:v>6</c:v>
                </c:pt>
                <c:pt idx="1">
                  <c:v>38</c:v>
                </c:pt>
                <c:pt idx="2">
                  <c:v>7</c:v>
                </c:pt>
                <c:pt idx="3">
                  <c:v>66</c:v>
                </c:pt>
                <c:pt idx="4">
                  <c:v>7</c:v>
                </c:pt>
                <c:pt idx="5">
                  <c:v>86</c:v>
                </c:pt>
                <c:pt idx="6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333854631"/>
        <c:axId val="454152647"/>
      </c:barChart>
      <c:catAx>
        <c:axId val="3338546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4152647"/>
        <c:crosses val="autoZero"/>
        <c:auto val="1"/>
        <c:lblAlgn val="ctr"/>
        <c:lblOffset val="100"/>
        <c:noMultiLvlLbl val="0"/>
      </c:catAx>
      <c:valAx>
        <c:axId val="454152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3854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9368fad-4063-427b-91e2-4c2a908868a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altLang="en-US"/>
              <a:t>Accuracy</a:t>
            </a:r>
            <a:endParaRPr lang="fr-FR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"BWA"</c:f>
              <c:strCache>
                <c:ptCount val="1"/>
                <c:pt idx="0">
                  <c:v>BWA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giab_comparaison_RENOME_V5_Hg19!$A$7:$A$14</c15:sqref>
                  </c15:fullRef>
                </c:ext>
              </c:extLst>
              <c:f>(giab_comparaison_RENOME_V5_Hg19!$A$7:$A$11,giab_comparaison_RENOME_V5_Hg19!$A$13:$A$14)</c:f>
              <c:strCache>
                <c:ptCount val="7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at least 1 caller</c:v>
                </c:pt>
                <c:pt idx="6">
                  <c:v>all 5 callers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giab_comparaison_RENOME_V5_Hg19!$M$7:$M$14</c15:sqref>
                  </c15:fullRef>
                </c:ext>
              </c:extLst>
              <c:f>(giab_comparaison_RENOME_V5_Hg19!$M$7:$M$11,giab_comparaison_RENOME_V5_Hg19!$M$13:$M$14)</c:f>
              <c:numCache>
                <c:formatCode>0.000_ </c:formatCode>
                <c:ptCount val="7"/>
                <c:pt idx="0">
                  <c:v>0.976</c:v>
                </c:pt>
                <c:pt idx="1">
                  <c:v>0.642857142857143</c:v>
                </c:pt>
                <c:pt idx="2">
                  <c:v>0.578947368421053</c:v>
                </c:pt>
                <c:pt idx="3">
                  <c:v>0.810126582278481</c:v>
                </c:pt>
                <c:pt idx="4">
                  <c:v>0.619289340101523</c:v>
                </c:pt>
                <c:pt idx="5">
                  <c:v>0.475285171102662</c:v>
                </c:pt>
                <c:pt idx="6">
                  <c:v>1</c:v>
                </c:pt>
              </c:numCache>
            </c:numRef>
          </c:val>
        </c:ser>
        <c:ser>
          <c:idx val="1"/>
          <c:order val="1"/>
          <c:tx>
            <c:strRef>
              <c:f>"Dragen-align"</c:f>
              <c:strCache>
                <c:ptCount val="1"/>
                <c:pt idx="0">
                  <c:v>Dragen-align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giab_comparaison_RENOME_V5_Hg19!$A$7:$A$14</c15:sqref>
                  </c15:fullRef>
                </c:ext>
              </c:extLst>
              <c:f>(giab_comparaison_RENOME_V5_Hg19!$A$7:$A$11,giab_comparaison_RENOME_V5_Hg19!$A$13:$A$14)</c:f>
              <c:strCache>
                <c:ptCount val="7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at least 1 caller</c:v>
                </c:pt>
                <c:pt idx="6">
                  <c:v>all 5 callers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giab_comparaison_RENOME_V5_Hg19!$AD$7:$AD$14</c15:sqref>
                  </c15:fullRef>
                </c:ext>
              </c:extLst>
              <c:f>(giab_comparaison_RENOME_V5_Hg19!$AD$7:$AD$11,giab_comparaison_RENOME_V5_Hg19!$AD$13:$AD$14)</c:f>
              <c:numCache>
                <c:formatCode>0.000_ </c:formatCode>
                <c:ptCount val="7"/>
                <c:pt idx="0">
                  <c:v>0.952755905511811</c:v>
                </c:pt>
                <c:pt idx="1">
                  <c:v>0.625</c:v>
                </c:pt>
                <c:pt idx="2">
                  <c:v>0.593137254901961</c:v>
                </c:pt>
                <c:pt idx="3">
                  <c:v>0.807692307692308</c:v>
                </c:pt>
                <c:pt idx="4">
                  <c:v>0.601990049751244</c:v>
                </c:pt>
                <c:pt idx="5">
                  <c:v>0.467924528301887</c:v>
                </c:pt>
                <c:pt idx="6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437440433"/>
        <c:axId val="657772521"/>
      </c:barChart>
      <c:catAx>
        <c:axId val="43744043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7772521"/>
        <c:crosses val="autoZero"/>
        <c:auto val="1"/>
        <c:lblAlgn val="ctr"/>
        <c:lblOffset val="100"/>
        <c:noMultiLvlLbl val="0"/>
      </c:catAx>
      <c:valAx>
        <c:axId val="6577725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744043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479b5c2-da38-436d-ba95-a356b272dc8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altLang="en-US"/>
              <a:t>Sensitivity</a:t>
            </a:r>
            <a:endParaRPr lang="fr-FR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"BWA"</c:f>
              <c:strCache>
                <c:ptCount val="1"/>
                <c:pt idx="0">
                  <c:v>BWA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giab_comparaison_RENOME_V5_Hg19!$A$7:$A$14</c:f>
              <c:strCache>
                <c:ptCount val="8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Variant called by :</c:v>
                </c:pt>
                <c:pt idx="6">
                  <c:v>at least 1 caller</c:v>
                </c:pt>
                <c:pt idx="7">
                  <c:v>all 5 callers</c:v>
                </c:pt>
              </c:strCache>
            </c:strRef>
          </c:cat>
          <c:val>
            <c:numRef>
              <c:f>giab_comparaison_RENOME_V5_Hg19!$N$7:$N$14</c:f>
              <c:numCache>
                <c:formatCode>0.000_ </c:formatCode>
                <c:ptCount val="8"/>
                <c:pt idx="0">
                  <c:v>0.953125</c:v>
                </c:pt>
                <c:pt idx="1">
                  <c:v>0.697674418604651</c:v>
                </c:pt>
                <c:pt idx="2">
                  <c:v>0.937984496124031</c:v>
                </c:pt>
                <c:pt idx="3">
                  <c:v>0.496124031007752</c:v>
                </c:pt>
                <c:pt idx="4">
                  <c:v>0.945736434108527</c:v>
                </c:pt>
                <c:pt idx="6">
                  <c:v>0.589622641509434</c:v>
                </c:pt>
                <c:pt idx="7">
                  <c:v>0.933333333333333</c:v>
                </c:pt>
              </c:numCache>
            </c:numRef>
          </c:val>
        </c:ser>
        <c:ser>
          <c:idx val="1"/>
          <c:order val="1"/>
          <c:tx>
            <c:strRef>
              <c:f>"Dragen-align"</c:f>
              <c:strCache>
                <c:ptCount val="1"/>
                <c:pt idx="0">
                  <c:v>Dragen-align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giab_comparaison_RENOME_V5_Hg19!$A$7:$A$14</c:f>
              <c:strCache>
                <c:ptCount val="8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Variant called by :</c:v>
                </c:pt>
                <c:pt idx="6">
                  <c:v>at least 1 caller</c:v>
                </c:pt>
                <c:pt idx="7">
                  <c:v>all 5 callers</c:v>
                </c:pt>
              </c:strCache>
            </c:strRef>
          </c:cat>
          <c:val>
            <c:numRef>
              <c:f>giab_comparaison_RENOME_V5_Hg19!$AE$7:$AE$14</c:f>
              <c:numCache>
                <c:formatCode>0.000_ </c:formatCode>
                <c:ptCount val="8"/>
                <c:pt idx="0">
                  <c:v>0.952755905511811</c:v>
                </c:pt>
                <c:pt idx="1">
                  <c:v>0.703125</c:v>
                </c:pt>
                <c:pt idx="2">
                  <c:v>0.9453125</c:v>
                </c:pt>
                <c:pt idx="3">
                  <c:v>0.488372093023256</c:v>
                </c:pt>
                <c:pt idx="4">
                  <c:v>0.9453125</c:v>
                </c:pt>
                <c:pt idx="6">
                  <c:v>0.59047619047619</c:v>
                </c:pt>
                <c:pt idx="7">
                  <c:v>0.934782608695652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408542953"/>
        <c:axId val="815642314"/>
      </c:barChart>
      <c:catAx>
        <c:axId val="40854295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5642314"/>
        <c:crosses val="autoZero"/>
        <c:auto val="1"/>
        <c:lblAlgn val="ctr"/>
        <c:lblOffset val="100"/>
        <c:noMultiLvlLbl val="0"/>
      </c:catAx>
      <c:valAx>
        <c:axId val="81564231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854295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269e49b-4611-4e61-9306-e3f989c8af5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chart" Target="../charts/chart9.xml"/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0" Type="http://schemas.openxmlformats.org/officeDocument/2006/relationships/chart" Target="../charts/chart10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29210</xdr:colOff>
      <xdr:row>17</xdr:row>
      <xdr:rowOff>14605</xdr:rowOff>
    </xdr:from>
    <xdr:to>
      <xdr:col>4</xdr:col>
      <xdr:colOff>159385</xdr:colOff>
      <xdr:row>31</xdr:row>
      <xdr:rowOff>139065</xdr:rowOff>
    </xdr:to>
    <xdr:graphicFrame>
      <xdr:nvGraphicFramePr>
        <xdr:cNvPr id="5" name="Chart 4"/>
        <xdr:cNvGraphicFramePr/>
      </xdr:nvGraphicFramePr>
      <xdr:xfrm>
        <a:off x="29210" y="3507105"/>
        <a:ext cx="2931795" cy="25425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323850</xdr:colOff>
      <xdr:row>16</xdr:row>
      <xdr:rowOff>167005</xdr:rowOff>
    </xdr:from>
    <xdr:to>
      <xdr:col>8</xdr:col>
      <xdr:colOff>260985</xdr:colOff>
      <xdr:row>31</xdr:row>
      <xdr:rowOff>118745</xdr:rowOff>
    </xdr:to>
    <xdr:graphicFrame>
      <xdr:nvGraphicFramePr>
        <xdr:cNvPr id="16" name="Chart 15"/>
        <xdr:cNvGraphicFramePr/>
      </xdr:nvGraphicFramePr>
      <xdr:xfrm>
        <a:off x="3125470" y="3486785"/>
        <a:ext cx="2936875" cy="25425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581025</xdr:colOff>
      <xdr:row>16</xdr:row>
      <xdr:rowOff>170180</xdr:rowOff>
    </xdr:from>
    <xdr:to>
      <xdr:col>14</xdr:col>
      <xdr:colOff>24765</xdr:colOff>
      <xdr:row>31</xdr:row>
      <xdr:rowOff>121920</xdr:rowOff>
    </xdr:to>
    <xdr:graphicFrame>
      <xdr:nvGraphicFramePr>
        <xdr:cNvPr id="17" name="Chart 16"/>
        <xdr:cNvGraphicFramePr/>
      </xdr:nvGraphicFramePr>
      <xdr:xfrm>
        <a:off x="6382385" y="3489960"/>
        <a:ext cx="2938780" cy="25425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399415</xdr:colOff>
      <xdr:row>33</xdr:row>
      <xdr:rowOff>12700</xdr:rowOff>
    </xdr:from>
    <xdr:to>
      <xdr:col>5</xdr:col>
      <xdr:colOff>722630</xdr:colOff>
      <xdr:row>47</xdr:row>
      <xdr:rowOff>142240</xdr:rowOff>
    </xdr:to>
    <xdr:graphicFrame>
      <xdr:nvGraphicFramePr>
        <xdr:cNvPr id="18" name="Chart 17"/>
        <xdr:cNvGraphicFramePr/>
      </xdr:nvGraphicFramePr>
      <xdr:xfrm>
        <a:off x="399415" y="6268720"/>
        <a:ext cx="3851275" cy="25476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323850</xdr:colOff>
      <xdr:row>32</xdr:row>
      <xdr:rowOff>169545</xdr:rowOff>
    </xdr:from>
    <xdr:to>
      <xdr:col>11</xdr:col>
      <xdr:colOff>9525</xdr:colOff>
      <xdr:row>47</xdr:row>
      <xdr:rowOff>121285</xdr:rowOff>
    </xdr:to>
    <xdr:graphicFrame>
      <xdr:nvGraphicFramePr>
        <xdr:cNvPr id="19" name="Chart 18"/>
        <xdr:cNvGraphicFramePr/>
      </xdr:nvGraphicFramePr>
      <xdr:xfrm>
        <a:off x="4578350" y="6252845"/>
        <a:ext cx="2936875" cy="25425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1905</xdr:colOff>
      <xdr:row>17</xdr:row>
      <xdr:rowOff>3810</xdr:rowOff>
    </xdr:from>
    <xdr:to>
      <xdr:col>20</xdr:col>
      <xdr:colOff>317500</xdr:colOff>
      <xdr:row>31</xdr:row>
      <xdr:rowOff>128270</xdr:rowOff>
    </xdr:to>
    <xdr:graphicFrame>
      <xdr:nvGraphicFramePr>
        <xdr:cNvPr id="3" name="Chart 2"/>
        <xdr:cNvGraphicFramePr/>
      </xdr:nvGraphicFramePr>
      <xdr:xfrm>
        <a:off x="11268075" y="3496310"/>
        <a:ext cx="2931795" cy="25425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494665</xdr:colOff>
      <xdr:row>17</xdr:row>
      <xdr:rowOff>1270</xdr:rowOff>
    </xdr:from>
    <xdr:to>
      <xdr:col>24</xdr:col>
      <xdr:colOff>525780</xdr:colOff>
      <xdr:row>31</xdr:row>
      <xdr:rowOff>125730</xdr:rowOff>
    </xdr:to>
    <xdr:graphicFrame>
      <xdr:nvGraphicFramePr>
        <xdr:cNvPr id="4" name="Chart 3"/>
        <xdr:cNvGraphicFramePr/>
      </xdr:nvGraphicFramePr>
      <xdr:xfrm>
        <a:off x="14377035" y="3493770"/>
        <a:ext cx="2936875" cy="25425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25</xdr:col>
      <xdr:colOff>19050</xdr:colOff>
      <xdr:row>17</xdr:row>
      <xdr:rowOff>3810</xdr:rowOff>
    </xdr:from>
    <xdr:to>
      <xdr:col>30</xdr:col>
      <xdr:colOff>96520</xdr:colOff>
      <xdr:row>31</xdr:row>
      <xdr:rowOff>132715</xdr:rowOff>
    </xdr:to>
    <xdr:graphicFrame>
      <xdr:nvGraphicFramePr>
        <xdr:cNvPr id="6" name="Chart 5"/>
        <xdr:cNvGraphicFramePr/>
      </xdr:nvGraphicFramePr>
      <xdr:xfrm>
        <a:off x="17533620" y="3496310"/>
        <a:ext cx="2924810" cy="25469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1042035</xdr:colOff>
      <xdr:row>32</xdr:row>
      <xdr:rowOff>166370</xdr:rowOff>
    </xdr:from>
    <xdr:to>
      <xdr:col>23</xdr:col>
      <xdr:colOff>101600</xdr:colOff>
      <xdr:row>47</xdr:row>
      <xdr:rowOff>122555</xdr:rowOff>
    </xdr:to>
    <xdr:graphicFrame>
      <xdr:nvGraphicFramePr>
        <xdr:cNvPr id="9" name="Chart 8"/>
        <xdr:cNvGraphicFramePr/>
      </xdr:nvGraphicFramePr>
      <xdr:xfrm>
        <a:off x="12308205" y="6249670"/>
        <a:ext cx="3855085" cy="25469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23</xdr:col>
      <xdr:colOff>529590</xdr:colOff>
      <xdr:row>32</xdr:row>
      <xdr:rowOff>158115</xdr:rowOff>
    </xdr:from>
    <xdr:to>
      <xdr:col>28</xdr:col>
      <xdr:colOff>311150</xdr:colOff>
      <xdr:row>47</xdr:row>
      <xdr:rowOff>109220</xdr:rowOff>
    </xdr:to>
    <xdr:graphicFrame>
      <xdr:nvGraphicFramePr>
        <xdr:cNvPr id="10" name="Chart 9"/>
        <xdr:cNvGraphicFramePr/>
      </xdr:nvGraphicFramePr>
      <xdr:xfrm>
        <a:off x="16591280" y="6241415"/>
        <a:ext cx="2938780" cy="25419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5"/>
  <sheetViews>
    <sheetView tabSelected="1" zoomScale="120" zoomScaleNormal="120" workbookViewId="0">
      <selection activeCell="L16" sqref="L16"/>
    </sheetView>
  </sheetViews>
  <sheetFormatPr defaultColWidth="11" defaultRowHeight="13.6"/>
  <cols>
    <col min="1" max="1" width="16.2884615384615" customWidth="1"/>
    <col min="2" max="4" width="8.71153846153846" customWidth="1"/>
    <col min="7" max="7" width="12.4230769230769" customWidth="1"/>
    <col min="10" max="10" width="7.69230769230769" customWidth="1"/>
    <col min="11" max="11" width="7.11538461538461" customWidth="1"/>
    <col min="12" max="12" width="8.26923076923077" customWidth="1"/>
    <col min="13" max="13" width="9.03846153846154" customWidth="1"/>
    <col min="14" max="14" width="9.80769230769231" customWidth="1"/>
    <col min="15" max="17" width="9.94230769230769" customWidth="1"/>
    <col min="18" max="18" width="17.6153846153846" customWidth="1"/>
    <col min="27" max="27" width="7.69230769230769" customWidth="1"/>
    <col min="28" max="28" width="7.11538461538461" customWidth="1"/>
    <col min="29" max="29" width="8.26923076923077" customWidth="1"/>
    <col min="30" max="30" width="9.03846153846154" customWidth="1"/>
    <col min="31" max="31" width="9.80769230769231" customWidth="1"/>
  </cols>
  <sheetData>
    <row r="1" ht="16.8" spans="1:21">
      <c r="A1" s="4" t="s">
        <v>0</v>
      </c>
      <c r="B1" s="4"/>
      <c r="C1" s="4"/>
      <c r="D1" s="4"/>
      <c r="R1" s="4" t="s">
        <v>1</v>
      </c>
      <c r="S1" s="4"/>
      <c r="T1" s="4"/>
      <c r="U1" s="4"/>
    </row>
    <row r="2" ht="16.8" spans="1:25">
      <c r="A2" s="4" t="s">
        <v>2</v>
      </c>
      <c r="B2" s="4"/>
      <c r="C2" s="4"/>
      <c r="D2" s="4"/>
      <c r="E2" s="33" t="s">
        <v>3</v>
      </c>
      <c r="H2" t="s">
        <v>4</v>
      </c>
      <c r="R2" s="4" t="s">
        <v>2</v>
      </c>
      <c r="S2" s="4"/>
      <c r="T2" s="4"/>
      <c r="U2" s="4"/>
      <c r="V2" s="33" t="s">
        <v>3</v>
      </c>
      <c r="Y2" t="s">
        <v>4</v>
      </c>
    </row>
    <row r="3" ht="17.6" spans="1:25">
      <c r="A3" s="5" t="s">
        <v>5</v>
      </c>
      <c r="B3" s="5"/>
      <c r="C3" s="5"/>
      <c r="D3" s="5"/>
      <c r="E3" s="34" t="s">
        <v>6</v>
      </c>
      <c r="H3" t="s">
        <v>7</v>
      </c>
      <c r="R3" s="5" t="s">
        <v>8</v>
      </c>
      <c r="S3" s="5"/>
      <c r="T3" s="5"/>
      <c r="U3" s="5"/>
      <c r="V3" s="34" t="s">
        <v>6</v>
      </c>
      <c r="Y3" t="s">
        <v>7</v>
      </c>
    </row>
    <row r="4" spans="1:21">
      <c r="A4" s="6" t="s">
        <v>9</v>
      </c>
      <c r="B4" s="6"/>
      <c r="C4" s="6"/>
      <c r="D4" s="6"/>
      <c r="R4" s="6" t="s">
        <v>9</v>
      </c>
      <c r="S4" s="6"/>
      <c r="T4" s="6"/>
      <c r="U4" s="6"/>
    </row>
    <row r="5" s="1" customFormat="1" spans="1:31">
      <c r="A5" s="6"/>
      <c r="B5" s="6"/>
      <c r="C5" s="6"/>
      <c r="D5" s="6"/>
      <c r="E5" s="35" t="s">
        <v>10</v>
      </c>
      <c r="F5" s="36"/>
      <c r="G5" s="36"/>
      <c r="H5" s="36"/>
      <c r="I5" s="48"/>
      <c r="J5" s="49" t="s">
        <v>11</v>
      </c>
      <c r="K5" s="50"/>
      <c r="L5" s="50"/>
      <c r="M5" s="50"/>
      <c r="N5" s="55"/>
      <c r="R5" s="6"/>
      <c r="S5" s="6"/>
      <c r="T5" s="6"/>
      <c r="U5" s="6"/>
      <c r="V5" s="35" t="s">
        <v>10</v>
      </c>
      <c r="W5" s="36"/>
      <c r="X5" s="36"/>
      <c r="Y5" s="36"/>
      <c r="Z5" s="48"/>
      <c r="AA5" s="49" t="s">
        <v>11</v>
      </c>
      <c r="AB5" s="50"/>
      <c r="AC5" s="50"/>
      <c r="AD5" s="50"/>
      <c r="AE5" s="55"/>
    </row>
    <row r="6" ht="28" spans="1:31">
      <c r="A6" s="7" t="s">
        <v>12</v>
      </c>
      <c r="B6" s="8" t="s">
        <v>10</v>
      </c>
      <c r="C6" s="9" t="s">
        <v>13</v>
      </c>
      <c r="D6" s="10" t="s">
        <v>14</v>
      </c>
      <c r="E6" s="9" t="s">
        <v>15</v>
      </c>
      <c r="F6" s="9" t="s">
        <v>16</v>
      </c>
      <c r="G6" s="10" t="s">
        <v>17</v>
      </c>
      <c r="H6" s="37" t="s">
        <v>18</v>
      </c>
      <c r="I6" s="51" t="s">
        <v>19</v>
      </c>
      <c r="J6" s="9" t="s">
        <v>15</v>
      </c>
      <c r="K6" s="9" t="s">
        <v>16</v>
      </c>
      <c r="L6" s="10" t="s">
        <v>17</v>
      </c>
      <c r="M6" s="56" t="s">
        <v>18</v>
      </c>
      <c r="N6" s="57" t="s">
        <v>19</v>
      </c>
      <c r="R6" s="7" t="s">
        <v>12</v>
      </c>
      <c r="S6" s="8" t="s">
        <v>10</v>
      </c>
      <c r="T6" s="9" t="s">
        <v>13</v>
      </c>
      <c r="U6" s="10" t="s">
        <v>14</v>
      </c>
      <c r="V6" s="9" t="s">
        <v>15</v>
      </c>
      <c r="W6" s="9" t="s">
        <v>16</v>
      </c>
      <c r="X6" s="10" t="s">
        <v>17</v>
      </c>
      <c r="Y6" s="37" t="s">
        <v>18</v>
      </c>
      <c r="Z6" s="51" t="s">
        <v>19</v>
      </c>
      <c r="AA6" s="9" t="s">
        <v>15</v>
      </c>
      <c r="AB6" s="9" t="s">
        <v>16</v>
      </c>
      <c r="AC6" s="10" t="s">
        <v>17</v>
      </c>
      <c r="AD6" s="56" t="s">
        <v>18</v>
      </c>
      <c r="AE6" s="57" t="s">
        <v>19</v>
      </c>
    </row>
    <row r="7" spans="1:31">
      <c r="A7" s="11" t="s">
        <v>20</v>
      </c>
      <c r="B7" s="12">
        <v>1056</v>
      </c>
      <c r="C7" s="13">
        <v>125</v>
      </c>
      <c r="D7" s="13">
        <v>1181</v>
      </c>
      <c r="E7" s="38">
        <v>1054</v>
      </c>
      <c r="F7" s="39">
        <v>2</v>
      </c>
      <c r="G7" s="39">
        <v>3</v>
      </c>
      <c r="H7" s="40">
        <v>0.998106060606061</v>
      </c>
      <c r="I7" s="52">
        <v>0.997161778618732</v>
      </c>
      <c r="J7" s="38">
        <v>122</v>
      </c>
      <c r="K7" s="39">
        <v>3</v>
      </c>
      <c r="L7" s="39">
        <v>6</v>
      </c>
      <c r="M7" s="40">
        <v>0.976</v>
      </c>
      <c r="N7" s="52">
        <v>0.953125</v>
      </c>
      <c r="R7" s="11" t="s">
        <v>20</v>
      </c>
      <c r="S7" s="12">
        <v>1058</v>
      </c>
      <c r="T7" s="13">
        <v>127</v>
      </c>
      <c r="U7" s="13">
        <v>1185</v>
      </c>
      <c r="V7" s="38">
        <v>1056</v>
      </c>
      <c r="W7" s="39">
        <v>2</v>
      </c>
      <c r="X7" s="39">
        <v>0</v>
      </c>
      <c r="Y7" s="40">
        <v>0.998109640831758</v>
      </c>
      <c r="Z7" s="52">
        <v>1</v>
      </c>
      <c r="AA7" s="38">
        <v>121</v>
      </c>
      <c r="AB7" s="39">
        <v>6</v>
      </c>
      <c r="AC7" s="39">
        <v>6</v>
      </c>
      <c r="AD7" s="40">
        <v>0.952755905511811</v>
      </c>
      <c r="AE7" s="52">
        <v>0.952755905511811</v>
      </c>
    </row>
    <row r="8" spans="1:31">
      <c r="A8" s="11" t="s">
        <v>21</v>
      </c>
      <c r="B8" s="14">
        <v>1074</v>
      </c>
      <c r="C8" s="15">
        <v>140</v>
      </c>
      <c r="D8" s="15">
        <v>1214</v>
      </c>
      <c r="E8" s="41">
        <v>1053</v>
      </c>
      <c r="F8" s="42">
        <v>21</v>
      </c>
      <c r="G8" s="42">
        <v>5</v>
      </c>
      <c r="H8" s="43">
        <v>0.980446927374302</v>
      </c>
      <c r="I8" s="53">
        <v>0.995274102079395</v>
      </c>
      <c r="J8" s="41">
        <v>90</v>
      </c>
      <c r="K8" s="42">
        <v>50</v>
      </c>
      <c r="L8" s="42">
        <v>39</v>
      </c>
      <c r="M8" s="43">
        <v>0.642857142857143</v>
      </c>
      <c r="N8" s="53">
        <v>0.697674418604651</v>
      </c>
      <c r="R8" s="11" t="s">
        <v>21</v>
      </c>
      <c r="S8" s="14">
        <v>1078</v>
      </c>
      <c r="T8" s="15">
        <v>144</v>
      </c>
      <c r="U8" s="15">
        <v>1222</v>
      </c>
      <c r="V8" s="41">
        <v>1054</v>
      </c>
      <c r="W8" s="42">
        <v>24</v>
      </c>
      <c r="X8" s="42">
        <v>4</v>
      </c>
      <c r="Y8" s="43">
        <v>0.977736549165121</v>
      </c>
      <c r="Z8" s="53">
        <v>0.996219281663516</v>
      </c>
      <c r="AA8" s="41">
        <v>90</v>
      </c>
      <c r="AB8" s="42">
        <v>54</v>
      </c>
      <c r="AC8" s="42">
        <v>38</v>
      </c>
      <c r="AD8" s="43">
        <v>0.625</v>
      </c>
      <c r="AE8" s="53">
        <v>0.703125</v>
      </c>
    </row>
    <row r="9" spans="1:31">
      <c r="A9" s="11" t="s">
        <v>22</v>
      </c>
      <c r="B9" s="14">
        <v>1066</v>
      </c>
      <c r="C9" s="15">
        <v>209</v>
      </c>
      <c r="D9" s="15">
        <v>1275</v>
      </c>
      <c r="E9" s="41">
        <v>1056</v>
      </c>
      <c r="F9" s="42">
        <v>10</v>
      </c>
      <c r="G9" s="42">
        <v>1</v>
      </c>
      <c r="H9" s="43">
        <v>0.9906191369606</v>
      </c>
      <c r="I9" s="53">
        <v>0.999053926206244</v>
      </c>
      <c r="J9" s="41">
        <v>121</v>
      </c>
      <c r="K9" s="42">
        <v>88</v>
      </c>
      <c r="L9" s="42">
        <v>8</v>
      </c>
      <c r="M9" s="43">
        <v>0.578947368421053</v>
      </c>
      <c r="N9" s="53">
        <v>0.937984496124031</v>
      </c>
      <c r="R9" s="11" t="s">
        <v>22</v>
      </c>
      <c r="S9" s="14">
        <v>1064</v>
      </c>
      <c r="T9" s="15">
        <v>204</v>
      </c>
      <c r="U9" s="15">
        <v>1268</v>
      </c>
      <c r="V9" s="41">
        <v>1056</v>
      </c>
      <c r="W9" s="42">
        <v>8</v>
      </c>
      <c r="X9" s="42">
        <v>1</v>
      </c>
      <c r="Y9" s="43">
        <v>0.992481203007519</v>
      </c>
      <c r="Z9" s="53">
        <v>0.999053926206244</v>
      </c>
      <c r="AA9" s="41">
        <v>121</v>
      </c>
      <c r="AB9" s="42">
        <v>83</v>
      </c>
      <c r="AC9" s="42">
        <v>7</v>
      </c>
      <c r="AD9" s="43">
        <v>0.593137254901961</v>
      </c>
      <c r="AE9" s="53">
        <v>0.9453125</v>
      </c>
    </row>
    <row r="10" spans="1:31">
      <c r="A10" s="11" t="s">
        <v>23</v>
      </c>
      <c r="B10" s="14">
        <v>1053</v>
      </c>
      <c r="C10" s="15">
        <v>79</v>
      </c>
      <c r="D10" s="15">
        <v>1132</v>
      </c>
      <c r="E10" s="41">
        <v>1050</v>
      </c>
      <c r="F10" s="42">
        <v>3</v>
      </c>
      <c r="G10" s="42">
        <v>8</v>
      </c>
      <c r="H10" s="43">
        <v>0.997150997150997</v>
      </c>
      <c r="I10" s="53">
        <v>0.992438563327032</v>
      </c>
      <c r="J10" s="41">
        <v>64</v>
      </c>
      <c r="K10" s="42">
        <v>15</v>
      </c>
      <c r="L10" s="42">
        <v>65</v>
      </c>
      <c r="M10" s="43">
        <v>0.810126582278481</v>
      </c>
      <c r="N10" s="53">
        <v>0.496124031007752</v>
      </c>
      <c r="R10" s="11" t="s">
        <v>23</v>
      </c>
      <c r="S10" s="14">
        <v>1058</v>
      </c>
      <c r="T10" s="15">
        <v>78</v>
      </c>
      <c r="U10" s="15">
        <v>1136</v>
      </c>
      <c r="V10" s="41">
        <v>1052</v>
      </c>
      <c r="W10" s="42">
        <v>6</v>
      </c>
      <c r="X10" s="42">
        <v>6</v>
      </c>
      <c r="Y10" s="43">
        <v>0.994328922495274</v>
      </c>
      <c r="Z10" s="53">
        <v>0.994328922495274</v>
      </c>
      <c r="AA10" s="41">
        <v>63</v>
      </c>
      <c r="AB10" s="42">
        <v>15</v>
      </c>
      <c r="AC10" s="42">
        <v>66</v>
      </c>
      <c r="AD10" s="43">
        <v>0.807692307692308</v>
      </c>
      <c r="AE10" s="53">
        <v>0.488372093023256</v>
      </c>
    </row>
    <row r="11" s="2" customFormat="1" spans="1:31">
      <c r="A11" s="16" t="s">
        <v>24</v>
      </c>
      <c r="B11" s="17">
        <v>1103</v>
      </c>
      <c r="C11" s="18">
        <v>197</v>
      </c>
      <c r="D11" s="18">
        <v>1300</v>
      </c>
      <c r="E11" s="44">
        <v>1056</v>
      </c>
      <c r="F11" s="45">
        <v>47</v>
      </c>
      <c r="G11" s="45">
        <v>2</v>
      </c>
      <c r="H11" s="46">
        <v>0.957388939256573</v>
      </c>
      <c r="I11" s="54">
        <v>0.998109640831758</v>
      </c>
      <c r="J11" s="44">
        <v>122</v>
      </c>
      <c r="K11" s="45">
        <v>75</v>
      </c>
      <c r="L11" s="45">
        <v>7</v>
      </c>
      <c r="M11" s="46">
        <v>0.619289340101523</v>
      </c>
      <c r="N11" s="54">
        <v>0.945736434108527</v>
      </c>
      <c r="R11" s="16" t="s">
        <v>24</v>
      </c>
      <c r="S11" s="17">
        <v>1091</v>
      </c>
      <c r="T11" s="18">
        <v>201</v>
      </c>
      <c r="U11" s="18">
        <v>1292</v>
      </c>
      <c r="V11" s="44">
        <v>1056</v>
      </c>
      <c r="W11" s="45">
        <v>35</v>
      </c>
      <c r="X11" s="45">
        <v>2</v>
      </c>
      <c r="Y11" s="46">
        <v>0.967919340054995</v>
      </c>
      <c r="Z11" s="54">
        <v>0.998109640831758</v>
      </c>
      <c r="AA11" s="44">
        <v>121</v>
      </c>
      <c r="AB11" s="45">
        <v>80</v>
      </c>
      <c r="AC11" s="45">
        <v>7</v>
      </c>
      <c r="AD11" s="46">
        <v>0.601990049751244</v>
      </c>
      <c r="AE11" s="54">
        <v>0.9453125</v>
      </c>
    </row>
    <row r="12" spans="1:31">
      <c r="A12" s="19" t="s">
        <v>25</v>
      </c>
      <c r="B12" s="20"/>
      <c r="C12" s="21"/>
      <c r="D12" s="22"/>
      <c r="E12" s="21"/>
      <c r="F12" s="21"/>
      <c r="G12" s="21"/>
      <c r="H12" s="47"/>
      <c r="I12" s="47"/>
      <c r="J12" s="21"/>
      <c r="K12" s="21"/>
      <c r="L12" s="21"/>
      <c r="M12" s="47"/>
      <c r="N12" s="47"/>
      <c r="R12" s="19" t="s">
        <v>25</v>
      </c>
      <c r="S12" s="20"/>
      <c r="T12" s="21"/>
      <c r="U12" s="22"/>
      <c r="V12" s="21"/>
      <c r="W12" s="21"/>
      <c r="X12" s="21"/>
      <c r="Y12" s="47"/>
      <c r="Z12" s="47"/>
      <c r="AA12" s="21"/>
      <c r="AB12" s="21"/>
      <c r="AC12" s="21"/>
      <c r="AD12" s="47"/>
      <c r="AE12" s="47"/>
    </row>
    <row r="13" spans="1:31">
      <c r="A13" s="11" t="s">
        <v>26</v>
      </c>
      <c r="B13" s="23">
        <v>1117</v>
      </c>
      <c r="C13" s="24">
        <v>263</v>
      </c>
      <c r="D13" s="25">
        <v>1380</v>
      </c>
      <c r="E13" s="38">
        <v>1056</v>
      </c>
      <c r="F13" s="39">
        <v>61</v>
      </c>
      <c r="G13" s="39">
        <v>8</v>
      </c>
      <c r="H13" s="40">
        <v>0.945389435989257</v>
      </c>
      <c r="I13" s="52">
        <v>0.992481203007519</v>
      </c>
      <c r="J13" s="38">
        <v>125</v>
      </c>
      <c r="K13" s="39">
        <v>138</v>
      </c>
      <c r="L13" s="39">
        <v>87</v>
      </c>
      <c r="M13" s="40">
        <v>0.475285171102662</v>
      </c>
      <c r="N13" s="52">
        <v>0.589622641509434</v>
      </c>
      <c r="R13" s="11" t="s">
        <v>26</v>
      </c>
      <c r="S13" s="23">
        <v>1102</v>
      </c>
      <c r="T13" s="24">
        <v>265</v>
      </c>
      <c r="U13" s="25">
        <v>1367</v>
      </c>
      <c r="V13" s="38">
        <v>1056</v>
      </c>
      <c r="W13" s="39">
        <v>46</v>
      </c>
      <c r="X13" s="39">
        <v>6</v>
      </c>
      <c r="Y13" s="40">
        <v>0.958257713248639</v>
      </c>
      <c r="Z13" s="52">
        <v>0.994350282485876</v>
      </c>
      <c r="AA13" s="38">
        <v>124</v>
      </c>
      <c r="AB13" s="39">
        <v>141</v>
      </c>
      <c r="AC13" s="39">
        <v>86</v>
      </c>
      <c r="AD13" s="40">
        <v>0.467924528301887</v>
      </c>
      <c r="AE13" s="52">
        <v>0.59047619047619</v>
      </c>
    </row>
    <row r="14" s="3" customFormat="1" ht="15.2" spans="1:31">
      <c r="A14" s="11" t="s">
        <v>27</v>
      </c>
      <c r="B14" s="26">
        <v>1050</v>
      </c>
      <c r="C14" s="27">
        <v>42</v>
      </c>
      <c r="D14" s="28">
        <v>1092</v>
      </c>
      <c r="E14" s="44">
        <v>1050</v>
      </c>
      <c r="F14" s="45"/>
      <c r="G14" s="45">
        <v>1</v>
      </c>
      <c r="H14" s="46">
        <v>1</v>
      </c>
      <c r="I14" s="54">
        <v>0.999048525214082</v>
      </c>
      <c r="J14" s="44">
        <v>42</v>
      </c>
      <c r="K14" s="45"/>
      <c r="L14" s="45">
        <v>3</v>
      </c>
      <c r="M14" s="46">
        <v>1</v>
      </c>
      <c r="N14" s="54">
        <v>0.933333333333333</v>
      </c>
      <c r="R14" s="11" t="s">
        <v>27</v>
      </c>
      <c r="S14" s="26">
        <v>1052</v>
      </c>
      <c r="T14" s="27">
        <v>43</v>
      </c>
      <c r="U14" s="28">
        <v>1095</v>
      </c>
      <c r="V14" s="44">
        <v>1052</v>
      </c>
      <c r="W14" s="45">
        <v>0</v>
      </c>
      <c r="X14" s="45">
        <v>0</v>
      </c>
      <c r="Y14" s="46">
        <v>1</v>
      </c>
      <c r="Z14" s="54">
        <v>1</v>
      </c>
      <c r="AA14" s="44">
        <v>43</v>
      </c>
      <c r="AB14" s="45">
        <v>0</v>
      </c>
      <c r="AC14" s="45">
        <v>3</v>
      </c>
      <c r="AD14" s="46">
        <v>1</v>
      </c>
      <c r="AE14" s="54">
        <v>0.934782608695652</v>
      </c>
    </row>
    <row r="15" ht="31" spans="1:26">
      <c r="A15" s="29" t="s">
        <v>28</v>
      </c>
      <c r="B15" s="30">
        <v>1059</v>
      </c>
      <c r="C15" s="31">
        <v>129</v>
      </c>
      <c r="D15" s="32">
        <v>1188</v>
      </c>
      <c r="H15" s="3"/>
      <c r="I15" s="3"/>
      <c r="R15" s="29" t="s">
        <v>28</v>
      </c>
      <c r="S15" s="30">
        <v>1059</v>
      </c>
      <c r="T15" s="31">
        <v>129</v>
      </c>
      <c r="U15" s="32">
        <v>1188</v>
      </c>
      <c r="Y15" s="3"/>
      <c r="Z15" s="3"/>
    </row>
  </sheetData>
  <mergeCells count="16">
    <mergeCell ref="A1:D1"/>
    <mergeCell ref="R1:U1"/>
    <mergeCell ref="A2:D2"/>
    <mergeCell ref="H2:I2"/>
    <mergeCell ref="R2:U2"/>
    <mergeCell ref="Y2:Z2"/>
    <mergeCell ref="A3:D3"/>
    <mergeCell ref="H3:I3"/>
    <mergeCell ref="R3:U3"/>
    <mergeCell ref="Y3:Z3"/>
    <mergeCell ref="A4:D4"/>
    <mergeCell ref="R4:U4"/>
    <mergeCell ref="E5:I5"/>
    <mergeCell ref="J5:N5"/>
    <mergeCell ref="V5:Z5"/>
    <mergeCell ref="AA5:AE5"/>
  </mergeCells>
  <conditionalFormatting sqref="E7:E11">
    <cfRule type="top10" dxfId="0" priority="32" bottom="1" rank="1"/>
    <cfRule type="top10" dxfId="1" priority="31" rank="1"/>
  </conditionalFormatting>
  <conditionalFormatting sqref="E13:E14">
    <cfRule type="top10" dxfId="0" priority="26" bottom="1" rank="1"/>
    <cfRule type="top10" dxfId="1" priority="25" rank="1"/>
  </conditionalFormatting>
  <conditionalFormatting sqref="F7:F11">
    <cfRule type="top10" dxfId="0" priority="30" rank="1"/>
    <cfRule type="top10" dxfId="1" priority="29" bottom="1" rank="1"/>
  </conditionalFormatting>
  <conditionalFormatting sqref="F13:F14">
    <cfRule type="top10" dxfId="0" priority="24" rank="1"/>
    <cfRule type="top10" dxfId="1" priority="23" bottom="1" rank="1"/>
  </conditionalFormatting>
  <conditionalFormatting sqref="G7:G11">
    <cfRule type="top10" dxfId="0" priority="28" rank="1"/>
    <cfRule type="top10" dxfId="1" priority="27" bottom="1" rank="1"/>
  </conditionalFormatting>
  <conditionalFormatting sqref="G13:G14">
    <cfRule type="top10" dxfId="0" priority="22" rank="1"/>
    <cfRule type="top10" dxfId="1" priority="21" bottom="1" rank="1"/>
  </conditionalFormatting>
  <conditionalFormatting sqref="H7:H11">
    <cfRule type="top10" dxfId="0" priority="40" bottom="1" rank="1"/>
    <cfRule type="top10" dxfId="1" priority="39" rank="1"/>
  </conditionalFormatting>
  <conditionalFormatting sqref="H13:H14">
    <cfRule type="top10" dxfId="0" priority="36" bottom="1" rank="1"/>
    <cfRule type="top10" dxfId="1" priority="35" rank="1"/>
  </conditionalFormatting>
  <conditionalFormatting sqref="I7:I11">
    <cfRule type="top10" dxfId="0" priority="38" bottom="1" rank="1"/>
    <cfRule type="top10" dxfId="1" priority="37" rank="1"/>
  </conditionalFormatting>
  <conditionalFormatting sqref="I13:I14">
    <cfRule type="top10" dxfId="0" priority="34" bottom="1" rank="1"/>
    <cfRule type="top10" dxfId="1" priority="33" rank="1"/>
  </conditionalFormatting>
  <conditionalFormatting sqref="J7:J11">
    <cfRule type="top10" dxfId="0" priority="12" bottom="1" rank="1"/>
    <cfRule type="top10" dxfId="1" priority="11" rank="1"/>
  </conditionalFormatting>
  <conditionalFormatting sqref="J13:J14">
    <cfRule type="top10" dxfId="0" priority="6" bottom="1" rank="1"/>
    <cfRule type="top10" dxfId="1" priority="5" rank="1"/>
  </conditionalFormatting>
  <conditionalFormatting sqref="K7:K11">
    <cfRule type="top10" dxfId="0" priority="10" rank="1"/>
    <cfRule type="top10" dxfId="1" priority="9" bottom="1" rank="1"/>
  </conditionalFormatting>
  <conditionalFormatting sqref="K13:K14">
    <cfRule type="top10" dxfId="0" priority="4" rank="1"/>
    <cfRule type="top10" dxfId="1" priority="3" bottom="1" rank="1"/>
  </conditionalFormatting>
  <conditionalFormatting sqref="L7:L11">
    <cfRule type="top10" dxfId="0" priority="8" rank="1"/>
    <cfRule type="top10" dxfId="1" priority="7" bottom="1" rank="1"/>
  </conditionalFormatting>
  <conditionalFormatting sqref="L13:L14">
    <cfRule type="top10" dxfId="0" priority="2" rank="1"/>
    <cfRule type="top10" dxfId="1" priority="1" bottom="1" rank="1"/>
  </conditionalFormatting>
  <conditionalFormatting sqref="M7:M11">
    <cfRule type="top10" dxfId="0" priority="20" bottom="1" rank="1"/>
    <cfRule type="top10" dxfId="1" priority="19" rank="1"/>
  </conditionalFormatting>
  <conditionalFormatting sqref="M13:M14">
    <cfRule type="top10" dxfId="0" priority="16" bottom="1" rank="1"/>
    <cfRule type="top10" dxfId="1" priority="15" rank="1"/>
  </conditionalFormatting>
  <conditionalFormatting sqref="N7:N11">
    <cfRule type="top10" dxfId="0" priority="18" bottom="1" rank="1"/>
    <cfRule type="top10" dxfId="1" priority="17" rank="1"/>
  </conditionalFormatting>
  <conditionalFormatting sqref="N13:N14">
    <cfRule type="top10" dxfId="0" priority="14" bottom="1" rank="1"/>
    <cfRule type="top10" dxfId="1" priority="13" rank="1"/>
  </conditionalFormatting>
  <conditionalFormatting sqref="V7:V11">
    <cfRule type="top10" dxfId="0" priority="72" bottom="1" rank="1"/>
    <cfRule type="top10" dxfId="1" priority="71" rank="1"/>
  </conditionalFormatting>
  <conditionalFormatting sqref="V13:V14">
    <cfRule type="top10" dxfId="0" priority="66" bottom="1" rank="1"/>
    <cfRule type="top10" dxfId="1" priority="65" rank="1"/>
  </conditionalFormatting>
  <conditionalFormatting sqref="W7:W11">
    <cfRule type="top10" dxfId="0" priority="70" rank="1"/>
    <cfRule type="top10" dxfId="1" priority="69" bottom="1" rank="1"/>
  </conditionalFormatting>
  <conditionalFormatting sqref="W13:W14">
    <cfRule type="top10" dxfId="0" priority="64" rank="1"/>
    <cfRule type="top10" dxfId="1" priority="63" bottom="1" rank="1"/>
  </conditionalFormatting>
  <conditionalFormatting sqref="X7:X11">
    <cfRule type="top10" dxfId="0" priority="68" rank="1"/>
    <cfRule type="top10" dxfId="1" priority="67" bottom="1" rank="1"/>
  </conditionalFormatting>
  <conditionalFormatting sqref="X13:X14">
    <cfRule type="top10" dxfId="0" priority="62" rank="1"/>
    <cfRule type="top10" dxfId="1" priority="61" bottom="1" rank="1"/>
  </conditionalFormatting>
  <conditionalFormatting sqref="Y7:Y11">
    <cfRule type="top10" dxfId="0" priority="80" bottom="1" rank="1"/>
    <cfRule type="top10" dxfId="1" priority="79" rank="1"/>
  </conditionalFormatting>
  <conditionalFormatting sqref="Y13:Y14">
    <cfRule type="top10" dxfId="0" priority="76" bottom="1" rank="1"/>
    <cfRule type="top10" dxfId="1" priority="75" rank="1"/>
  </conditionalFormatting>
  <conditionalFormatting sqref="Z7:Z11">
    <cfRule type="top10" dxfId="0" priority="78" bottom="1" rank="1"/>
    <cfRule type="top10" dxfId="1" priority="77" rank="1"/>
  </conditionalFormatting>
  <conditionalFormatting sqref="Z13:Z14">
    <cfRule type="top10" dxfId="0" priority="74" bottom="1" rank="1"/>
    <cfRule type="top10" dxfId="1" priority="73" rank="1"/>
  </conditionalFormatting>
  <conditionalFormatting sqref="AA7:AA11">
    <cfRule type="top10" dxfId="0" priority="52" bottom="1" rank="1"/>
    <cfRule type="top10" dxfId="1" priority="51" rank="1"/>
  </conditionalFormatting>
  <conditionalFormatting sqref="AA13:AA14">
    <cfRule type="top10" dxfId="0" priority="46" bottom="1" rank="1"/>
    <cfRule type="top10" dxfId="1" priority="45" rank="1"/>
  </conditionalFormatting>
  <conditionalFormatting sqref="AB7:AB11">
    <cfRule type="top10" dxfId="0" priority="50" rank="1"/>
    <cfRule type="top10" dxfId="1" priority="49" bottom="1" rank="1"/>
  </conditionalFormatting>
  <conditionalFormatting sqref="AB13:AB14">
    <cfRule type="top10" dxfId="0" priority="44" rank="1"/>
    <cfRule type="top10" dxfId="1" priority="43" bottom="1" rank="1"/>
  </conditionalFormatting>
  <conditionalFormatting sqref="AC7:AC11">
    <cfRule type="top10" dxfId="0" priority="48" rank="1"/>
    <cfRule type="top10" dxfId="1" priority="47" bottom="1" rank="1"/>
  </conditionalFormatting>
  <conditionalFormatting sqref="AC13:AC14">
    <cfRule type="top10" dxfId="0" priority="42" rank="1"/>
    <cfRule type="top10" dxfId="1" priority="41" bottom="1" rank="1"/>
  </conditionalFormatting>
  <conditionalFormatting sqref="AD7:AD11">
    <cfRule type="top10" dxfId="0" priority="60" bottom="1" rank="1"/>
    <cfRule type="top10" dxfId="1" priority="59" rank="1"/>
  </conditionalFormatting>
  <conditionalFormatting sqref="AD13:AD14">
    <cfRule type="top10" dxfId="0" priority="56" bottom="1" rank="1"/>
    <cfRule type="top10" dxfId="1" priority="55" rank="1"/>
  </conditionalFormatting>
  <conditionalFormatting sqref="AE7:AE11">
    <cfRule type="top10" dxfId="0" priority="58" bottom="1" rank="1"/>
    <cfRule type="top10" dxfId="1" priority="57" rank="1"/>
  </conditionalFormatting>
  <conditionalFormatting sqref="AE13:AE14">
    <cfRule type="top10" dxfId="0" priority="54" bottom="1" rank="1"/>
    <cfRule type="top10" dxfId="1" priority="53" rank="1"/>
  </conditionalFormatting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giab_comparaison_RENOME_V5_Hg19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Yoss</dc:creator>
  <cp:lastModifiedBy>Mélodie</cp:lastModifiedBy>
  <dcterms:created xsi:type="dcterms:W3CDTF">2025-02-11T01:50:00Z</dcterms:created>
  <dcterms:modified xsi:type="dcterms:W3CDTF">2025-07-04T14:14:07Z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7E95E0935FEC5587A39ABC67709B1A94_43</vt:lpwstr>
  </property>
  <property fmtid="{D5CDD505-2E9C-101B-9397-08002B2CF9AE}" pid="3" name="KSOProductBuildVer">
    <vt:lpwstr>1033-6.15.0.8733</vt:lpwstr>
  </property>
</Properties>
</file>