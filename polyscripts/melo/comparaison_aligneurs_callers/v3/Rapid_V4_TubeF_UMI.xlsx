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8800"/>
  </bookViews>
  <sheets>
    <sheet name="giab_comparaison_RENOME_V5_Hg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<sst xmlns="http://schemas.openxmlformats.org/spreadsheetml/2006/main" count="99" uniqueCount="32">
  <si>
    <t>NGS2025_08680</t>
  </si>
  <si>
    <t>NGS2025_08679</t>
  </si>
  <si>
    <t>NGS2025_08964</t>
  </si>
  <si>
    <t>capture: Rapid_V4_TubeF</t>
  </si>
  <si>
    <t>best</t>
  </si>
  <si>
    <t>Accuracy = TP/(TP+FP)</t>
  </si>
  <si>
    <t>capture: Rapid_V4_TubeF_UMI</t>
  </si>
  <si>
    <t>Alignment method: bwa</t>
  </si>
  <si>
    <t>worst</t>
  </si>
  <si>
    <t>Sensitivity = TP/(TP+FN)</t>
  </si>
  <si>
    <t>Alignment method: dragen-align</t>
  </si>
  <si>
    <t>depth coverage ≥30 X</t>
  </si>
  <si>
    <t>SNP</t>
  </si>
  <si>
    <t>Indel</t>
  </si>
  <si>
    <t>Caller</t>
  </si>
  <si>
    <t>indel</t>
  </si>
  <si>
    <t>total</t>
  </si>
  <si>
    <t>True Positive</t>
  </si>
  <si>
    <t>False Postive</t>
  </si>
  <si>
    <t>False Negative</t>
  </si>
  <si>
    <t>Accuracy</t>
  </si>
  <si>
    <t>Sensitivity</t>
  </si>
  <si>
    <t>dragen-calling</t>
  </si>
  <si>
    <t>freebayes</t>
  </si>
  <si>
    <t>haplotypecaller4</t>
  </si>
  <si>
    <t>samtools</t>
  </si>
  <si>
    <t>unifiedgenotyper</t>
  </si>
  <si>
    <t>Variant called by :</t>
  </si>
  <si>
    <t>at least 1 caller</t>
  </si>
  <si>
    <t>all 5 callers</t>
  </si>
  <si>
    <t>all 4 callers</t>
  </si>
  <si>
    <t>NIST GIAB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</si>
</sst>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.000_ "/>
  </numFmts>
  <fonts count="31">
    <font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9" tint="-0.249977111117893"/>
      <name val="Arial"/>
      <charset val="134"/>
    </font>
    <font>
      <b/>
      <sz val="9"/>
      <color theme="1"/>
      <name val="Arial"/>
      <charset val="134"/>
    </font>
    <font>
      <b/>
      <sz val="9"/>
      <color theme="9" tint="-0.499984740745262"/>
      <name val="Arial"/>
      <charset val="134"/>
    </font>
    <font>
      <sz val="9"/>
      <name val="Arial"/>
      <charset val="134"/>
    </font>
    <font>
      <b/>
      <sz val="9"/>
      <name val="Arial"/>
      <charset val="134"/>
    </font>
    <font>
      <sz val="9"/>
      <color theme="9" tint="-0.249977111117893"/>
      <name val="Arial"/>
      <charset val="134"/>
    </font>
    <font>
      <b/>
      <sz val="10"/>
      <name val="Arial"/>
      <charset val="134"/>
    </font>
    <font>
      <b/>
      <sz val="9"/>
      <color theme="6"/>
      <name val="Arial"/>
      <charset val="134"/>
    </font>
    <font>
      <sz val="9"/>
      <color theme="9" tint="-0.49998474074526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9"/>
      <color rgb="FFFF0000"/>
      <name val="Arial"/>
      <charset val="134"/>
    </font>
    <font>
      <sz val="18"/>
      <color theme="3"/>
      <name val="Calibri Light"/>
      <charset val="134"/>
      <scheme val="major"/>
    </font>
    <font>
      <i/>
      <sz val="9"/>
      <color rgb="FF7F7F7F"/>
      <name val="Arial"/>
      <charset val="134"/>
    </font>
    <font>
      <b/>
      <sz val="15"/>
      <color theme="3"/>
      <name val="Arial"/>
      <charset val="134"/>
    </font>
    <font>
      <b/>
      <sz val="13"/>
      <color theme="3"/>
      <name val="Arial"/>
      <charset val="134"/>
    </font>
    <font>
      <b/>
      <sz val="11"/>
      <color theme="3"/>
      <name val="Arial"/>
      <charset val="134"/>
    </font>
    <font>
      <sz val="9"/>
      <color rgb="FF3F3F76"/>
      <name val="Arial"/>
      <charset val="134"/>
    </font>
    <font>
      <b/>
      <sz val="9"/>
      <color rgb="FF3F3F3F"/>
      <name val="Arial"/>
      <charset val="134"/>
    </font>
    <font>
      <b/>
      <sz val="9"/>
      <color rgb="FFFA7D00"/>
      <name val="Arial"/>
      <charset val="134"/>
    </font>
    <font>
      <b/>
      <sz val="9"/>
      <color theme="0"/>
      <name val="Arial"/>
      <charset val="134"/>
    </font>
    <font>
      <sz val="9"/>
      <color rgb="FFFA7D00"/>
      <name val="Arial"/>
      <charset val="134"/>
    </font>
    <font>
      <sz val="9"/>
      <color rgb="FF006100"/>
      <name val="Arial"/>
      <charset val="134"/>
    </font>
    <font>
      <sz val="9"/>
      <color rgb="FF9C0006"/>
      <name val="Arial"/>
      <charset val="134"/>
    </font>
    <font>
      <sz val="9"/>
      <color rgb="FF9C6500"/>
      <name val="Arial"/>
      <charset val="134"/>
    </font>
    <font>
      <sz val="9"/>
      <color theme="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6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1" fillId="0" borderId="19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20" applyNumberFormat="0" applyAlignment="0" applyProtection="0"/>
    <xf numFmtId="0" fontId="23" fillId="8" borderId="21" applyNumberFormat="0" applyAlignment="0" applyProtection="0"/>
    <xf numFmtId="0" fontId="24" fillId="8" borderId="20" applyNumberFormat="0" applyAlignment="0" applyProtection="0"/>
    <xf numFmtId="0" fontId="25" fillId="9" borderId="22" applyNumberFormat="0" applyAlignment="0" applyProtection="0"/>
    <xf numFmtId="0" fontId="26" fillId="0" borderId="23" applyNumberFormat="0" applyFill="0" applyAlignment="0" applyProtection="0"/>
    <xf numFmtId="0" fontId="5" fillId="0" borderId="24" applyNumberFormat="0" applyFill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9" fillId="12" borderId="0" applyNumberFormat="0" applyBorder="0" applyAlignment="0" applyProtection="0"/>
    <xf numFmtId="0" fontId="30" fillId="13" borderId="0" applyNumberFormat="0" applyBorder="0" applyAlignment="0" applyProtection="0"/>
    <xf numFmtId="0" fontId="0" fillId="4" borderId="0" applyNumberFormat="0" applyBorder="0" applyAlignment="0" applyProtection="0"/>
    <xf numFmtId="0" fontId="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0" fillId="25" borderId="0" applyNumberFormat="0" applyBorder="0" applyAlignment="0" applyProtection="0"/>
    <xf numFmtId="0" fontId="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0" fillId="29" borderId="0" applyNumberFormat="0" applyBorder="0" applyAlignment="0" applyProtection="0"/>
    <xf numFmtId="0" fontId="0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0" fillId="33" borderId="0" applyNumberFormat="0" applyBorder="0" applyAlignment="0" applyProtection="0"/>
    <xf numFmtId="0" fontId="0" fillId="34" borderId="0" applyNumberFormat="0" applyBorder="0" applyAlignment="0" applyProtection="0"/>
    <xf numFmtId="0" fontId="30" fillId="35" borderId="0" applyNumberFormat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1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0" fontId="7" fillId="0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9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9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3" borderId="2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/>
    </xf>
    <xf numFmtId="0" fontId="0" fillId="0" borderId="10" xfId="0" applyNumberFormat="1" applyFont="1" applyFill="1" applyBorder="1" applyAlignment="1">
      <alignment horizontal="center" vertical="center"/>
    </xf>
    <xf numFmtId="176" fontId="0" fillId="0" borderId="9" xfId="0" applyNumberFormat="1" applyFont="1" applyFill="1" applyBorder="1" applyAlignment="1">
      <alignment horizontal="center"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76" fontId="0" fillId="0" borderId="8" xfId="0" applyNumberFormat="1" applyFont="1" applyFill="1" applyBorder="1" applyAlignment="1">
      <alignment horizontal="center" vertical="center"/>
    </xf>
    <xf numFmtId="0" fontId="0" fillId="0" borderId="12" xfId="0" applyNumberFormat="1" applyFont="1" applyFill="1" applyBorder="1" applyAlignment="1">
      <alignment horizontal="center" vertical="center"/>
    </xf>
    <xf numFmtId="0" fontId="0" fillId="0" borderId="13" xfId="0" applyNumberFormat="1" applyFont="1" applyFill="1" applyBorder="1" applyAlignment="1">
      <alignment horizontal="center" vertical="center"/>
    </xf>
    <xf numFmtId="176" fontId="0" fillId="0" borderId="12" xfId="0" applyNumberFormat="1" applyFont="1" applyFill="1" applyBorder="1" applyAlignment="1">
      <alignment horizontal="center" vertical="center"/>
    </xf>
    <xf numFmtId="176" fontId="8" fillId="0" borderId="3" xfId="0" applyNumberFormat="1" applyFont="1" applyFill="1" applyBorder="1" applyAlignment="1">
      <alignment horizontal="center" vertical="center"/>
    </xf>
    <xf numFmtId="0" fontId="0" fillId="0" borderId="11" xfId="0" applyNumberFormat="1" applyFont="1" applyFill="1" applyBorder="1" applyAlignment="1">
      <alignment horizontal="center" vertical="center"/>
    </xf>
    <xf numFmtId="0" fontId="0" fillId="0" borderId="14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176" fontId="0" fillId="0" borderId="11" xfId="0" applyNumberFormat="1" applyFont="1" applyFill="1" applyBorder="1" applyAlignment="1">
      <alignment horizontal="center" vertical="center"/>
    </xf>
    <xf numFmtId="176" fontId="0" fillId="0" borderId="15" xfId="0" applyNumberFormat="1" applyFont="1" applyFill="1" applyBorder="1" applyAlignment="1">
      <alignment horizontal="center" vertical="center"/>
    </xf>
    <xf numFmtId="176" fontId="0" fillId="0" borderId="14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/>
    </xf>
    <xf numFmtId="0" fontId="11" fillId="0" borderId="6" xfId="0" applyFont="1" applyBorder="1" applyAlignment="1">
      <alignment vertical="center"/>
    </xf>
    <xf numFmtId="0" fontId="0" fillId="0" borderId="0" xfId="0" applyFill="1" applyAlignment="1">
      <alignment vertical="center"/>
    </xf>
    <xf numFmtId="176" fontId="5" fillId="0" borderId="3" xfId="0" applyNumberFormat="1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7" fillId="0" borderId="11" xfId="0" applyFont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8" xfId="0" applyFont="1" applyFill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FBC5C5"/>
        </patternFill>
      </fill>
    </dxf>
    <dxf>
      <font>
        <b val="1"/>
        <i val="0"/>
      </font>
      <fill>
        <patternFill patternType="solid">
          <bgColor rgb="FFDDEBF7"/>
        </patternFill>
      </fill>
    </dxf>
  </dxfs>
  <tableStyles count="0" defaultTableStyle="TableStyleMedium2" defaultPivotStyle="PivotStyleLight16"/>
  <colors>
    <mruColors>
      <color rgb="00FFC5C5"/>
      <color rgb="00FFB9B9"/>
      <color rgb="00FFABAB"/>
      <color rgb="009E480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False positive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giab_comparaison_RENOME_V5_Hg19!$F$7:$F$14</c15:sqref>
                  </c15:fullRef>
                </c:ext>
              </c:extLst>
              <c:f>(giab_comparaison_RENOME_V5_Hg19!$F$7:$F$11,giab_comparaison_RENOME_V5_Hg19!$F$13:$F$14)</c:f>
              <c:numCache>
                <c:formatCode>General</c:formatCode>
                <c:ptCount val="7"/>
                <c:pt idx="0">
                  <c:v>1</c:v>
                </c:pt>
                <c:pt idx="1">
                  <c:v>13</c:v>
                </c:pt>
                <c:pt idx="2">
                  <c:v>7</c:v>
                </c:pt>
                <c:pt idx="3">
                  <c:v>0</c:v>
                </c:pt>
                <c:pt idx="4">
                  <c:v>40</c:v>
                </c:pt>
                <c:pt idx="5">
                  <c:v>46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giab_comparaison_RENOME_V5_Hg19!$AJ$7:$AJ$14</c15:sqref>
                  </c15:fullRef>
                </c:ext>
              </c:extLst>
              <c:f>(giab_comparaison_RENOME_V5_Hg19!$AJ$7:$AJ$11,giab_comparaison_RENOME_V5_Hg19!$AJ$13:$AJ$14)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4</c:v>
                </c:pt>
                <c:pt idx="3">
                  <c:v>1</c:v>
                </c:pt>
                <c:pt idx="4">
                  <c:v>14</c:v>
                </c:pt>
                <c:pt idx="5">
                  <c:v>23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giab_comparaison_RENOME_V5_Hg19!$U$7:$U$14</c15:sqref>
                  </c15:fullRef>
                </c:ext>
              </c:extLst>
              <c:f>(giab_comparaison_RENOME_V5_Hg19!$U$7:$U$11,giab_comparaison_RENOME_V5_Hg19!$U$13:$U$14)</c:f>
              <c:numCache>
                <c:formatCode>General</c:formatCode>
                <c:ptCount val="7"/>
                <c:pt idx="0">
                  <c:v>0</c:v>
                </c:pt>
                <c:pt idx="1">
                  <c:v>10</c:v>
                </c:pt>
                <c:pt idx="2">
                  <c:v>2</c:v>
                </c:pt>
                <c:pt idx="3">
                  <c:v>3</c:v>
                </c:pt>
                <c:pt idx="5">
                  <c:v>15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True positive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giab_comparaison_RENOME_V5_Hg19!$E$7:$E$14</c15:sqref>
                  </c15:fullRef>
                </c:ext>
              </c:extLst>
              <c:f>(giab_comparaison_RENOME_V5_Hg19!$E$7:$E$11,giab_comparaison_RENOME_V5_Hg19!$E$13:$E$14)</c:f>
              <c:numCache>
                <c:formatCode>General</c:formatCode>
                <c:ptCount val="7"/>
                <c:pt idx="0">
                  <c:v>647</c:v>
                </c:pt>
                <c:pt idx="1">
                  <c:v>647</c:v>
                </c:pt>
                <c:pt idx="2">
                  <c:v>648</c:v>
                </c:pt>
                <c:pt idx="3">
                  <c:v>644</c:v>
                </c:pt>
                <c:pt idx="4">
                  <c:v>647</c:v>
                </c:pt>
                <c:pt idx="5">
                  <c:v>648</c:v>
                </c:pt>
                <c:pt idx="6">
                  <c:v>642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giab_comparaison_RENOME_V5_Hg19!$AI$7:$AI$14</c15:sqref>
                  </c15:fullRef>
                </c:ext>
              </c:extLst>
              <c:f>(giab_comparaison_RENOME_V5_Hg19!$AI$7:$AI$11,giab_comparaison_RENOME_V5_Hg19!$AI$13:$AI$14)</c:f>
              <c:numCache>
                <c:formatCode>General</c:formatCode>
                <c:ptCount val="7"/>
                <c:pt idx="0">
                  <c:v>648</c:v>
                </c:pt>
                <c:pt idx="1">
                  <c:v>647</c:v>
                </c:pt>
                <c:pt idx="2">
                  <c:v>647</c:v>
                </c:pt>
                <c:pt idx="3">
                  <c:v>644</c:v>
                </c:pt>
                <c:pt idx="4">
                  <c:v>647</c:v>
                </c:pt>
                <c:pt idx="5">
                  <c:v>648</c:v>
                </c:pt>
                <c:pt idx="6">
                  <c:v>644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giab_comparaison_RENOME_V5_Hg19!$T$7:$T$14</c15:sqref>
                  </c15:fullRef>
                </c:ext>
              </c:extLst>
              <c:f>(giab_comparaison_RENOME_V5_Hg19!$T$7:$T$11,giab_comparaison_RENOME_V5_Hg19!$T$13:$T$14)</c:f>
              <c:numCache>
                <c:formatCode>General</c:formatCode>
                <c:ptCount val="7"/>
                <c:pt idx="0">
                  <c:v>648</c:v>
                </c:pt>
                <c:pt idx="1">
                  <c:v>647</c:v>
                </c:pt>
                <c:pt idx="2">
                  <c:v>647</c:v>
                </c:pt>
                <c:pt idx="3">
                  <c:v>644</c:v>
                </c:pt>
                <c:pt idx="5">
                  <c:v>648</c:v>
                </c:pt>
                <c:pt idx="6">
                  <c:v>644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  <c:min val="64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26760fb-d5e9-480b-a0fb-1eb76023bc6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False Negative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giab_comparaison_RENOME_V5_Hg19!$G$7:$G$14</c15:sqref>
                  </c15:fullRef>
                </c:ext>
              </c:extLst>
              <c:f>(giab_comparaison_RENOME_V5_Hg19!$G$7:$G$11,giab_comparaison_RENOME_V5_Hg19!$G$13:$G$14)</c:f>
              <c:numCache>
                <c:formatCode>General</c:formatCode>
                <c:ptCount val="7"/>
                <c:pt idx="0">
                  <c:v>1</c:v>
                </c:pt>
                <c:pt idx="1">
                  <c:v>4</c:v>
                </c:pt>
                <c:pt idx="2">
                  <c:v>0</c:v>
                </c:pt>
                <c:pt idx="3">
                  <c:v>5</c:v>
                </c:pt>
                <c:pt idx="4">
                  <c:v>1</c:v>
                </c:pt>
                <c:pt idx="5">
                  <c:v>9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giab_comparaison_RENOME_V5_Hg19!$AK$7:$AK$14</c15:sqref>
                  </c15:fullRef>
                </c:ext>
              </c:extLst>
              <c:f>(giab_comparaison_RENOME_V5_Hg19!$AK$7:$AK$11,giab_comparaison_RENOME_V5_Hg19!$AK$13:$AK$14)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giab_comparaison_RENOME_V5_Hg19!$V$7:$V$14</c15:sqref>
                  </c15:fullRef>
                </c:ext>
              </c:extLst>
              <c:f>(giab_comparaison_RENOME_V5_Hg19!$V$7:$V$11,giab_comparaison_RENOME_V5_Hg19!$V$13:$V$14)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5</c:v>
                </c:pt>
                <c:pt idx="5">
                  <c:v>7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Accuracy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giab_comparaison_RENOME_V5_Hg19!$H$7:$H$14</c15:sqref>
                  </c15:fullRef>
                </c:ext>
              </c:extLst>
              <c:f>(giab_comparaison_RENOME_V5_Hg19!$H$7:$H$11,giab_comparaison_RENOME_V5_Hg19!$H$13:$H$14)</c:f>
              <c:numCache>
                <c:formatCode>0.000_ </c:formatCode>
                <c:ptCount val="7"/>
                <c:pt idx="0">
                  <c:v>0.998456790123457</c:v>
                </c:pt>
                <c:pt idx="1">
                  <c:v>0.98030303030303</c:v>
                </c:pt>
                <c:pt idx="2">
                  <c:v>0.989312977099237</c:v>
                </c:pt>
                <c:pt idx="3">
                  <c:v>1</c:v>
                </c:pt>
                <c:pt idx="4">
                  <c:v>0.941775836972344</c:v>
                </c:pt>
                <c:pt idx="5">
                  <c:v>0.93371757925072</c:v>
                </c:pt>
                <c:pt idx="6">
                  <c:v>1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giab_comparaison_RENOME_V5_Hg19!$AL$7:$AL$14</c15:sqref>
                  </c15:fullRef>
                </c:ext>
              </c:extLst>
              <c:f>(giab_comparaison_RENOME_V5_Hg19!$AL$7:$AL$11,giab_comparaison_RENOME_V5_Hg19!$AL$13:$AL$14)</c:f>
              <c:numCache>
                <c:formatCode>0.000_ </c:formatCode>
                <c:ptCount val="7"/>
                <c:pt idx="0">
                  <c:v>1</c:v>
                </c:pt>
                <c:pt idx="1">
                  <c:v>0.984779299847793</c:v>
                </c:pt>
                <c:pt idx="2">
                  <c:v>0.993855606758833</c:v>
                </c:pt>
                <c:pt idx="3">
                  <c:v>0.998449612403101</c:v>
                </c:pt>
                <c:pt idx="4">
                  <c:v>0.978819969742814</c:v>
                </c:pt>
                <c:pt idx="5">
                  <c:v>0.965722801788376</c:v>
                </c:pt>
                <c:pt idx="6">
                  <c:v>1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giab_comparaison_RENOME_V5_Hg19!$W$7:$W$14</c15:sqref>
                  </c15:fullRef>
                </c:ext>
              </c:extLst>
              <c:f>(giab_comparaison_RENOME_V5_Hg19!$W$7:$W$11,giab_comparaison_RENOME_V5_Hg19!$W$13:$W$14)</c:f>
              <c:numCache>
                <c:formatCode>0.000_ </c:formatCode>
                <c:ptCount val="7"/>
                <c:pt idx="0">
                  <c:v>1</c:v>
                </c:pt>
                <c:pt idx="1">
                  <c:v>0.984779299847793</c:v>
                </c:pt>
                <c:pt idx="2">
                  <c:v>0.996918335901387</c:v>
                </c:pt>
                <c:pt idx="3">
                  <c:v>0.995363214837713</c:v>
                </c:pt>
                <c:pt idx="5">
                  <c:v>0.97737556561086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#,##0.00_);[Red]\(#,##0.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0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8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080"/>
              <a:t>Sensitivity</a:t>
            </a:r>
            <a:endParaRPr lang="fr-FR" altLang="en-US" sz="108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giab_comparaison_RENOME_V5_Hg19!$I$7:$I$14</c15:sqref>
                  </c15:fullRef>
                </c:ext>
              </c:extLst>
              <c:f>(giab_comparaison_RENOME_V5_Hg19!$I$7:$I$11,giab_comparaison_RENOME_V5_Hg19!$I$13:$I$14)</c:f>
              <c:numCache>
                <c:formatCode>0.000_ </c:formatCode>
                <c:ptCount val="7"/>
                <c:pt idx="0">
                  <c:v>0.998456790123457</c:v>
                </c:pt>
                <c:pt idx="1">
                  <c:v>0.993855606758833</c:v>
                </c:pt>
                <c:pt idx="2">
                  <c:v>1</c:v>
                </c:pt>
                <c:pt idx="3">
                  <c:v>0.992295839753467</c:v>
                </c:pt>
                <c:pt idx="4">
                  <c:v>0.998456790123457</c:v>
                </c:pt>
                <c:pt idx="5">
                  <c:v>0.986301369863014</c:v>
                </c:pt>
                <c:pt idx="6">
                  <c:v>1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giab_comparaison_RENOME_V5_Hg19!$AM$7:$AM$14</c15:sqref>
                  </c15:fullRef>
                </c:ext>
              </c:extLst>
              <c:f>(giab_comparaison_RENOME_V5_Hg19!$AM$7:$AM$11,giab_comparaison_RENOME_V5_Hg19!$AM$13:$AM$14)</c:f>
              <c:numCache>
                <c:formatCode>0.000_ </c:formatCode>
                <c:ptCount val="7"/>
                <c:pt idx="0">
                  <c:v>1</c:v>
                </c:pt>
                <c:pt idx="1">
                  <c:v>0.993855606758833</c:v>
                </c:pt>
                <c:pt idx="2">
                  <c:v>0.998456790123457</c:v>
                </c:pt>
                <c:pt idx="3">
                  <c:v>0.992295839753467</c:v>
                </c:pt>
                <c:pt idx="4">
                  <c:v>0.998456790123457</c:v>
                </c:pt>
                <c:pt idx="5">
                  <c:v>0.989312977099237</c:v>
                </c:pt>
                <c:pt idx="6">
                  <c:v>1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giab_comparaison_RENOME_V5_Hg19!$X$7:$X$14</c15:sqref>
                  </c15:fullRef>
                </c:ext>
              </c:extLst>
              <c:f>(giab_comparaison_RENOME_V5_Hg19!$X$7:$X$11,giab_comparaison_RENOME_V5_Hg19!$X$13:$X$14)</c:f>
              <c:numCache>
                <c:formatCode>0.000_ </c:formatCode>
                <c:ptCount val="7"/>
                <c:pt idx="0">
                  <c:v>1</c:v>
                </c:pt>
                <c:pt idx="1">
                  <c:v>0.993855606758833</c:v>
                </c:pt>
                <c:pt idx="2">
                  <c:v>0.998456790123457</c:v>
                </c:pt>
                <c:pt idx="3">
                  <c:v>0.992295839753467</c:v>
                </c:pt>
                <c:pt idx="5">
                  <c:v>0.989312977099237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100171056"/>
        <c:axId val="719256486"/>
      </c:barChart>
      <c:catAx>
        <c:axId val="1001710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9256486"/>
        <c:crosses val="autoZero"/>
        <c:auto val="1"/>
        <c:lblAlgn val="ctr"/>
        <c:lblOffset val="100"/>
        <c:noMultiLvlLbl val="0"/>
      </c:catAx>
      <c:valAx>
        <c:axId val="719256486"/>
        <c:scaling>
          <c:orientation val="minMax"/>
          <c:max val="1"/>
          <c:min val="0.98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);[Red]\(0.00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0171056"/>
        <c:crosses val="autoZero"/>
        <c:crossBetween val="between"/>
        <c:minorUnit val="0.001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8753f8-f7f9-4f63-a0a9-f3a3bd6ca3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200"/>
              <a:t>True Positive</a:t>
            </a:r>
            <a:endParaRPr lang="fr-FR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giab_comparaison_RENOME_V5_Hg19!$J$7:$J$14</c15:sqref>
                  </c15:fullRef>
                </c:ext>
              </c:extLst>
              <c:f>(giab_comparaison_RENOME_V5_Hg19!$J$7:$J$11,giab_comparaison_RENOME_V5_Hg19!$J$13:$J$14)</c:f>
              <c:numCache>
                <c:formatCode>General</c:formatCode>
                <c:ptCount val="7"/>
                <c:pt idx="0">
                  <c:v>64</c:v>
                </c:pt>
                <c:pt idx="1">
                  <c:v>46</c:v>
                </c:pt>
                <c:pt idx="2">
                  <c:v>62</c:v>
                </c:pt>
                <c:pt idx="3">
                  <c:v>37</c:v>
                </c:pt>
                <c:pt idx="4">
                  <c:v>63</c:v>
                </c:pt>
                <c:pt idx="5">
                  <c:v>64</c:v>
                </c:pt>
                <c:pt idx="6">
                  <c:v>23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giab_comparaison_RENOME_V5_Hg19!$AN$7:$AN$14</c15:sqref>
                  </c15:fullRef>
                </c:ext>
              </c:extLst>
              <c:f>(giab_comparaison_RENOME_V5_Hg19!$AN$7:$AN$11,giab_comparaison_RENOME_V5_Hg19!$AN$13:$AN$14)</c:f>
              <c:numCache>
                <c:formatCode>General</c:formatCode>
                <c:ptCount val="7"/>
                <c:pt idx="0">
                  <c:v>65</c:v>
                </c:pt>
                <c:pt idx="1">
                  <c:v>46</c:v>
                </c:pt>
                <c:pt idx="2">
                  <c:v>63</c:v>
                </c:pt>
                <c:pt idx="3">
                  <c:v>38</c:v>
                </c:pt>
                <c:pt idx="4">
                  <c:v>65</c:v>
                </c:pt>
                <c:pt idx="5">
                  <c:v>65</c:v>
                </c:pt>
                <c:pt idx="6">
                  <c:v>23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giab_comparaison_RENOME_V5_Hg19!$Y$7:$Y$14</c15:sqref>
                  </c15:fullRef>
                </c:ext>
              </c:extLst>
              <c:f>(giab_comparaison_RENOME_V5_Hg19!$Y$7:$Y$11,giab_comparaison_RENOME_V5_Hg19!$Y$13:$Y$14)</c:f>
              <c:numCache>
                <c:formatCode>General</c:formatCode>
                <c:ptCount val="7"/>
                <c:pt idx="0">
                  <c:v>64</c:v>
                </c:pt>
                <c:pt idx="1">
                  <c:v>46</c:v>
                </c:pt>
                <c:pt idx="2">
                  <c:v>62</c:v>
                </c:pt>
                <c:pt idx="3">
                  <c:v>38</c:v>
                </c:pt>
                <c:pt idx="5">
                  <c:v>64</c:v>
                </c:pt>
                <c:pt idx="6">
                  <c:v>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07576004"/>
        <c:axId val="695889723"/>
      </c:barChart>
      <c:catAx>
        <c:axId val="5075760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889723"/>
        <c:crosses val="autoZero"/>
        <c:auto val="1"/>
        <c:lblAlgn val="ctr"/>
        <c:lblOffset val="100"/>
        <c:noMultiLvlLbl val="0"/>
      </c:catAx>
      <c:valAx>
        <c:axId val="695889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5760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fbfb4f4-49c2-452d-b91c-fc354e00ec8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200"/>
              <a:t>False Positive</a:t>
            </a:r>
            <a:endParaRPr lang="fr-FR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giab_comparaison_RENOME_V5_Hg19!$K$7:$K$14</c15:sqref>
                  </c15:fullRef>
                </c:ext>
              </c:extLst>
              <c:f>(giab_comparaison_RENOME_V5_Hg19!$K$7:$K$11,giab_comparaison_RENOME_V5_Hg19!$K$13:$K$14)</c:f>
              <c:numCache>
                <c:formatCode>General</c:formatCode>
                <c:ptCount val="7"/>
                <c:pt idx="0">
                  <c:v>8</c:v>
                </c:pt>
                <c:pt idx="1">
                  <c:v>30</c:v>
                </c:pt>
                <c:pt idx="2">
                  <c:v>28</c:v>
                </c:pt>
                <c:pt idx="3">
                  <c:v>6</c:v>
                </c:pt>
                <c:pt idx="4">
                  <c:v>25</c:v>
                </c:pt>
                <c:pt idx="5">
                  <c:v>54</c:v>
                </c:pt>
                <c:pt idx="6">
                  <c:v>1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giab_comparaison_RENOME_V5_Hg19!$AO$7:$AO$14</c15:sqref>
                  </c15:fullRef>
                </c:ext>
              </c:extLst>
              <c:f>(giab_comparaison_RENOME_V5_Hg19!$AO$7:$AO$11,giab_comparaison_RENOME_V5_Hg19!$AO$13:$AO$14)</c:f>
              <c:numCache>
                <c:formatCode>General</c:formatCode>
                <c:ptCount val="7"/>
                <c:pt idx="0">
                  <c:v>12</c:v>
                </c:pt>
                <c:pt idx="1">
                  <c:v>26</c:v>
                </c:pt>
                <c:pt idx="2">
                  <c:v>27</c:v>
                </c:pt>
                <c:pt idx="3">
                  <c:v>5</c:v>
                </c:pt>
                <c:pt idx="4">
                  <c:v>23</c:v>
                </c:pt>
                <c:pt idx="5">
                  <c:v>54</c:v>
                </c:pt>
                <c:pt idx="6">
                  <c:v>1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giab_comparaison_RENOME_V5_Hg19!$Z$7:$Z$14</c15:sqref>
                  </c15:fullRef>
                </c:ext>
              </c:extLst>
              <c:f>(giab_comparaison_RENOME_V5_Hg19!$Z$7:$Z$11,giab_comparaison_RENOME_V5_Hg19!$Z$13:$Z$14)</c:f>
              <c:numCache>
                <c:formatCode>General</c:formatCode>
                <c:ptCount val="7"/>
                <c:pt idx="0">
                  <c:v>13</c:v>
                </c:pt>
                <c:pt idx="1">
                  <c:v>27</c:v>
                </c:pt>
                <c:pt idx="2">
                  <c:v>26</c:v>
                </c:pt>
                <c:pt idx="3">
                  <c:v>3</c:v>
                </c:pt>
                <c:pt idx="5">
                  <c:v>48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07576004"/>
        <c:axId val="695889723"/>
      </c:barChart>
      <c:catAx>
        <c:axId val="5075760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889723"/>
        <c:crosses val="autoZero"/>
        <c:auto val="1"/>
        <c:lblAlgn val="ctr"/>
        <c:lblOffset val="100"/>
        <c:noMultiLvlLbl val="0"/>
      </c:catAx>
      <c:valAx>
        <c:axId val="695889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5760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55d4e8-4a1d-4af1-8893-12888332b6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200"/>
              <a:t>False Negative</a:t>
            </a:r>
            <a:endParaRPr lang="fr-FR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giab_comparaison_RENOME_V5_Hg19!$L$7:$L$14</c15:sqref>
                  </c15:fullRef>
                </c:ext>
              </c:extLst>
              <c:f>(giab_comparaison_RENOME_V5_Hg19!$L$7:$L$11,giab_comparaison_RENOME_V5_Hg19!$L$13:$L$14)</c:f>
              <c:numCache>
                <c:formatCode>General</c:formatCode>
                <c:ptCount val="7"/>
                <c:pt idx="0">
                  <c:v>5</c:v>
                </c:pt>
                <c:pt idx="1">
                  <c:v>26</c:v>
                </c:pt>
                <c:pt idx="2">
                  <c:v>9</c:v>
                </c:pt>
                <c:pt idx="3">
                  <c:v>34</c:v>
                </c:pt>
                <c:pt idx="4">
                  <c:v>8</c:v>
                </c:pt>
                <c:pt idx="5">
                  <c:v>49</c:v>
                </c:pt>
                <c:pt idx="6">
                  <c:v>5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giab_comparaison_RENOME_V5_Hg19!$AP$7:$AP$14</c15:sqref>
                  </c15:fullRef>
                </c:ext>
              </c:extLst>
              <c:f>(giab_comparaison_RENOME_V5_Hg19!$AP$7:$AP$11,giab_comparaison_RENOME_V5_Hg19!$AP$13:$AP$14)</c:f>
              <c:numCache>
                <c:formatCode>General</c:formatCode>
                <c:ptCount val="7"/>
                <c:pt idx="0">
                  <c:v>5</c:v>
                </c:pt>
                <c:pt idx="1">
                  <c:v>26</c:v>
                </c:pt>
                <c:pt idx="2">
                  <c:v>9</c:v>
                </c:pt>
                <c:pt idx="3">
                  <c:v>34</c:v>
                </c:pt>
                <c:pt idx="4">
                  <c:v>7</c:v>
                </c:pt>
                <c:pt idx="5">
                  <c:v>49</c:v>
                </c:pt>
                <c:pt idx="6">
                  <c:v>5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giab_comparaison_RENOME_V5_Hg19!$AA$7:$AA$14</c15:sqref>
                  </c15:fullRef>
                </c:ext>
              </c:extLst>
              <c:f>(giab_comparaison_RENOME_V5_Hg19!$AA$7:$AA$11,giab_comparaison_RENOME_V5_Hg19!$AA$13:$AA$14)</c:f>
              <c:numCache>
                <c:formatCode>General</c:formatCode>
                <c:ptCount val="7"/>
                <c:pt idx="0">
                  <c:v>6</c:v>
                </c:pt>
                <c:pt idx="1">
                  <c:v>26</c:v>
                </c:pt>
                <c:pt idx="2">
                  <c:v>9</c:v>
                </c:pt>
                <c:pt idx="3">
                  <c:v>33</c:v>
                </c:pt>
                <c:pt idx="5">
                  <c:v>49</c:v>
                </c:pt>
                <c:pt idx="6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07576004"/>
        <c:axId val="695889723"/>
      </c:barChart>
      <c:catAx>
        <c:axId val="5075760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889723"/>
        <c:crosses val="autoZero"/>
        <c:auto val="1"/>
        <c:lblAlgn val="ctr"/>
        <c:lblOffset val="100"/>
        <c:noMultiLvlLbl val="0"/>
      </c:catAx>
      <c:valAx>
        <c:axId val="695889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5760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55d4e8-4a1d-4af1-8893-12888332b6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200"/>
              <a:t>Accuracy</a:t>
            </a:r>
            <a:endParaRPr lang="fr-FR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giab_comparaison_RENOME_V5_Hg19!$M$7:$M$14</c15:sqref>
                  </c15:fullRef>
                </c:ext>
              </c:extLst>
              <c:f>(giab_comparaison_RENOME_V5_Hg19!$M$7:$M$11,giab_comparaison_RENOME_V5_Hg19!$M$13:$M$14)</c:f>
              <c:numCache>
                <c:formatCode>0.000_ </c:formatCode>
                <c:ptCount val="7"/>
                <c:pt idx="0">
                  <c:v>0.888888888888889</c:v>
                </c:pt>
                <c:pt idx="1">
                  <c:v>0.605263157894737</c:v>
                </c:pt>
                <c:pt idx="2">
                  <c:v>0.688888888888889</c:v>
                </c:pt>
                <c:pt idx="3">
                  <c:v>0.86046511627907</c:v>
                </c:pt>
                <c:pt idx="4">
                  <c:v>0.715909090909091</c:v>
                </c:pt>
                <c:pt idx="5">
                  <c:v>0.542372881355932</c:v>
                </c:pt>
                <c:pt idx="6">
                  <c:v>0.958333333333333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giab_comparaison_RENOME_V5_Hg19!$AQ$7:$AQ$14</c15:sqref>
                  </c15:fullRef>
                </c:ext>
              </c:extLst>
              <c:f>(giab_comparaison_RENOME_V5_Hg19!$AQ$7:$AQ$11,giab_comparaison_RENOME_V5_Hg19!$AQ$13:$AQ$14)</c:f>
              <c:numCache>
                <c:formatCode>0.000_ </c:formatCode>
                <c:ptCount val="7"/>
                <c:pt idx="0">
                  <c:v>0.844155844155844</c:v>
                </c:pt>
                <c:pt idx="1">
                  <c:v>0.638888888888889</c:v>
                </c:pt>
                <c:pt idx="2">
                  <c:v>0.7</c:v>
                </c:pt>
                <c:pt idx="3">
                  <c:v>0.883720930232558</c:v>
                </c:pt>
                <c:pt idx="4">
                  <c:v>0.738636363636364</c:v>
                </c:pt>
                <c:pt idx="5">
                  <c:v>0.546218487394958</c:v>
                </c:pt>
                <c:pt idx="6">
                  <c:v>0.958333333333333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giab_comparaison_RENOME_V5_Hg19!$AB$7:$AB$14</c15:sqref>
                  </c15:fullRef>
                </c:ext>
              </c:extLst>
              <c:f>(giab_comparaison_RENOME_V5_Hg19!$AB$7:$AB$11,giab_comparaison_RENOME_V5_Hg19!$AB$13:$AB$14)</c:f>
              <c:numCache>
                <c:formatCode>0.000_ </c:formatCode>
                <c:ptCount val="7"/>
                <c:pt idx="0">
                  <c:v>0.831168831168831</c:v>
                </c:pt>
                <c:pt idx="1">
                  <c:v>0.63013698630137</c:v>
                </c:pt>
                <c:pt idx="2">
                  <c:v>0.704545454545455</c:v>
                </c:pt>
                <c:pt idx="3">
                  <c:v>0.926829268292683</c:v>
                </c:pt>
                <c:pt idx="5">
                  <c:v>0.571428571428571</c:v>
                </c:pt>
                <c:pt idx="6">
                  <c:v>0.958333333333333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07576004"/>
        <c:axId val="695889723"/>
      </c:barChart>
      <c:catAx>
        <c:axId val="5075760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889723"/>
        <c:crosses val="autoZero"/>
        <c:auto val="1"/>
        <c:lblAlgn val="ctr"/>
        <c:lblOffset val="100"/>
        <c:noMultiLvlLbl val="0"/>
      </c:catAx>
      <c:valAx>
        <c:axId val="695889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5760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7743fde-8728-490e-aa27-45451d1844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2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 altLang="en-US" sz="1200"/>
              <a:t>Sensitivity</a:t>
            </a:r>
            <a:endParaRPr lang="fr-FR" altLang="en-US" sz="120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"BWA"</c:f>
              <c:strCache>
                <c:ptCount val="1"/>
                <c:pt idx="0">
                  <c:v>BWA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giab_comparaison_RENOME_V5_Hg19!$N$7:$N$14</c15:sqref>
                  </c15:fullRef>
                </c:ext>
              </c:extLst>
              <c:f>(giab_comparaison_RENOME_V5_Hg19!$N$7:$N$11,giab_comparaison_RENOME_V5_Hg19!$N$13:$N$14)</c:f>
              <c:numCache>
                <c:formatCode>0.000_ </c:formatCode>
                <c:ptCount val="7"/>
                <c:pt idx="0">
                  <c:v>0.927536231884058</c:v>
                </c:pt>
                <c:pt idx="1">
                  <c:v>0.638888888888889</c:v>
                </c:pt>
                <c:pt idx="2">
                  <c:v>0.873239436619718</c:v>
                </c:pt>
                <c:pt idx="3">
                  <c:v>0.52112676056338</c:v>
                </c:pt>
                <c:pt idx="4">
                  <c:v>0.887323943661972</c:v>
                </c:pt>
                <c:pt idx="5">
                  <c:v>0.566371681415929</c:v>
                </c:pt>
                <c:pt idx="6">
                  <c:v>0.821428571428571</c:v>
                </c:pt>
              </c:numCache>
            </c:numRef>
          </c:val>
        </c:ser>
        <c:ser>
          <c:idx val="2"/>
          <c:order val="1"/>
          <c:tx>
            <c:strRef>
              <c:f>"Dragen-align - UMI"</c:f>
              <c:strCache>
                <c:ptCount val="1"/>
                <c:pt idx="0">
                  <c:v>Dragen-align - UMI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giab_comparaison_RENOME_V5_Hg19!$AR$7:$AR$14</c15:sqref>
                  </c15:fullRef>
                </c:ext>
              </c:extLst>
              <c:f>(giab_comparaison_RENOME_V5_Hg19!$AR$7:$AR$11,giab_comparaison_RENOME_V5_Hg19!$AR$13:$AR$14)</c:f>
              <c:numCache>
                <c:formatCode>0.000_ </c:formatCode>
                <c:ptCount val="7"/>
                <c:pt idx="0">
                  <c:v>0.928571428571429</c:v>
                </c:pt>
                <c:pt idx="1">
                  <c:v>0.638888888888889</c:v>
                </c:pt>
                <c:pt idx="2">
                  <c:v>0.875</c:v>
                </c:pt>
                <c:pt idx="3">
                  <c:v>0.527777777777778</c:v>
                </c:pt>
                <c:pt idx="4">
                  <c:v>0.902777777777778</c:v>
                </c:pt>
                <c:pt idx="5">
                  <c:v>0.570175438596491</c:v>
                </c:pt>
                <c:pt idx="6">
                  <c:v>0.821428571428571</c:v>
                </c:pt>
              </c:numCache>
            </c:numRef>
          </c:val>
        </c:ser>
        <c:ser>
          <c:idx val="1"/>
          <c:order val="2"/>
          <c:tx>
            <c:strRef>
              <c:f>"Dragen-align + UMI"</c:f>
              <c:strCache>
                <c:ptCount val="1"/>
                <c:pt idx="0">
                  <c:v>Dragen-align + UMI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giab_comparaison_RENOME_V5_Hg19!$A$7:$A$14</c15:sqref>
                  </c15:fullRef>
                </c:ext>
              </c:extLst>
              <c:f>(giab_comparaison_RENOME_V5_Hg19!$A$7:$A$11,giab_comparaison_RENOME_V5_Hg19!$A$13:$A$14)</c:f>
              <c:strCache>
                <c:ptCount val="7"/>
                <c:pt idx="0">
                  <c:v>dragen-calling</c:v>
                </c:pt>
                <c:pt idx="1">
                  <c:v>freebayes</c:v>
                </c:pt>
                <c:pt idx="2">
                  <c:v>haplotypecaller4</c:v>
                </c:pt>
                <c:pt idx="3">
                  <c:v>samtools</c:v>
                </c:pt>
                <c:pt idx="4">
                  <c:v>unifiedgenotyper</c:v>
                </c:pt>
                <c:pt idx="5">
                  <c:v>at least 1 caller</c:v>
                </c:pt>
                <c:pt idx="6">
                  <c:v>all 5 callers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giab_comparaison_RENOME_V5_Hg19!$AC$7:$AC$14</c15:sqref>
                  </c15:fullRef>
                </c:ext>
              </c:extLst>
              <c:f>(giab_comparaison_RENOME_V5_Hg19!$AC$7:$AC$11,giab_comparaison_RENOME_V5_Hg19!$AC$13:$AC$14)</c:f>
              <c:numCache>
                <c:formatCode>0.000_ </c:formatCode>
                <c:ptCount val="7"/>
                <c:pt idx="0">
                  <c:v>0.914285714285714</c:v>
                </c:pt>
                <c:pt idx="1">
                  <c:v>0.638888888888889</c:v>
                </c:pt>
                <c:pt idx="2">
                  <c:v>0.873239436619718</c:v>
                </c:pt>
                <c:pt idx="3">
                  <c:v>0.535211267605634</c:v>
                </c:pt>
                <c:pt idx="5">
                  <c:v>0.566371681415929</c:v>
                </c:pt>
                <c:pt idx="6">
                  <c:v>0.793103448275862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07576004"/>
        <c:axId val="695889723"/>
      </c:barChart>
      <c:catAx>
        <c:axId val="5075760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5889723"/>
        <c:crosses val="autoZero"/>
        <c:auto val="1"/>
        <c:lblAlgn val="ctr"/>
        <c:lblOffset val="100"/>
        <c:noMultiLvlLbl val="0"/>
      </c:catAx>
      <c:valAx>
        <c:axId val="6958897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75760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a55d4e8-4a1d-4af1-8893-12888332b65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0" Type="http://schemas.openxmlformats.org/officeDocument/2006/relationships/chart" Target="../charts/chart10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21590</xdr:colOff>
      <xdr:row>17</xdr:row>
      <xdr:rowOff>20955</xdr:rowOff>
    </xdr:from>
    <xdr:to>
      <xdr:col>11</xdr:col>
      <xdr:colOff>187960</xdr:colOff>
      <xdr:row>31</xdr:row>
      <xdr:rowOff>144780</xdr:rowOff>
    </xdr:to>
    <xdr:graphicFrame>
      <xdr:nvGraphicFramePr>
        <xdr:cNvPr id="16" name="Chart 15"/>
        <xdr:cNvGraphicFramePr/>
      </xdr:nvGraphicFramePr>
      <xdr:xfrm>
        <a:off x="3143250" y="3322955"/>
        <a:ext cx="2934970" cy="2541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29210</xdr:colOff>
      <xdr:row>17</xdr:row>
      <xdr:rowOff>23495</xdr:rowOff>
    </xdr:from>
    <xdr:to>
      <xdr:col>5</xdr:col>
      <xdr:colOff>300355</xdr:colOff>
      <xdr:row>31</xdr:row>
      <xdr:rowOff>147320</xdr:rowOff>
    </xdr:to>
    <xdr:graphicFrame>
      <xdr:nvGraphicFramePr>
        <xdr:cNvPr id="5" name="Chart 4"/>
        <xdr:cNvGraphicFramePr/>
      </xdr:nvGraphicFramePr>
      <xdr:xfrm>
        <a:off x="29210" y="3325495"/>
        <a:ext cx="2922905" cy="2541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378460</xdr:colOff>
      <xdr:row>17</xdr:row>
      <xdr:rowOff>6985</xdr:rowOff>
    </xdr:from>
    <xdr:to>
      <xdr:col>15</xdr:col>
      <xdr:colOff>859790</xdr:colOff>
      <xdr:row>31</xdr:row>
      <xdr:rowOff>130810</xdr:rowOff>
    </xdr:to>
    <xdr:graphicFrame>
      <xdr:nvGraphicFramePr>
        <xdr:cNvPr id="17" name="Chart 16"/>
        <xdr:cNvGraphicFramePr/>
      </xdr:nvGraphicFramePr>
      <xdr:xfrm>
        <a:off x="6268720" y="3308985"/>
        <a:ext cx="2928620" cy="2541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74930</xdr:colOff>
      <xdr:row>33</xdr:row>
      <xdr:rowOff>13970</xdr:rowOff>
    </xdr:from>
    <xdr:to>
      <xdr:col>8</xdr:col>
      <xdr:colOff>111125</xdr:colOff>
      <xdr:row>47</xdr:row>
      <xdr:rowOff>153035</xdr:rowOff>
    </xdr:to>
    <xdr:graphicFrame>
      <xdr:nvGraphicFramePr>
        <xdr:cNvPr id="18" name="Chart 17"/>
        <xdr:cNvGraphicFramePr/>
      </xdr:nvGraphicFramePr>
      <xdr:xfrm>
        <a:off x="74930" y="6079490"/>
        <a:ext cx="4300855" cy="2557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307340</xdr:colOff>
      <xdr:row>33</xdr:row>
      <xdr:rowOff>5715</xdr:rowOff>
    </xdr:from>
    <xdr:to>
      <xdr:col>13</xdr:col>
      <xdr:colOff>462915</xdr:colOff>
      <xdr:row>47</xdr:row>
      <xdr:rowOff>135255</xdr:rowOff>
    </xdr:to>
    <xdr:graphicFrame>
      <xdr:nvGraphicFramePr>
        <xdr:cNvPr id="19" name="Chart 18"/>
        <xdr:cNvGraphicFramePr/>
      </xdr:nvGraphicFramePr>
      <xdr:xfrm>
        <a:off x="4572000" y="6071235"/>
        <a:ext cx="2924175" cy="2547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12700</xdr:colOff>
      <xdr:row>16</xdr:row>
      <xdr:rowOff>168275</xdr:rowOff>
    </xdr:from>
    <xdr:to>
      <xdr:col>25</xdr:col>
      <xdr:colOff>168275</xdr:colOff>
      <xdr:row>31</xdr:row>
      <xdr:rowOff>123825</xdr:rowOff>
    </xdr:to>
    <xdr:graphicFrame>
      <xdr:nvGraphicFramePr>
        <xdr:cNvPr id="3" name="Chart 2"/>
        <xdr:cNvGraphicFramePr/>
      </xdr:nvGraphicFramePr>
      <xdr:xfrm>
        <a:off x="11002010" y="3297555"/>
        <a:ext cx="2924175" cy="2546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462915</xdr:colOff>
      <xdr:row>17</xdr:row>
      <xdr:rowOff>1905</xdr:rowOff>
    </xdr:from>
    <xdr:to>
      <xdr:col>30</xdr:col>
      <xdr:colOff>410845</xdr:colOff>
      <xdr:row>31</xdr:row>
      <xdr:rowOff>130175</xdr:rowOff>
    </xdr:to>
    <xdr:graphicFrame>
      <xdr:nvGraphicFramePr>
        <xdr:cNvPr id="4" name="Chart 3"/>
        <xdr:cNvGraphicFramePr/>
      </xdr:nvGraphicFramePr>
      <xdr:xfrm>
        <a:off x="14220825" y="3303905"/>
        <a:ext cx="2934970" cy="2546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30</xdr:col>
      <xdr:colOff>738505</xdr:colOff>
      <xdr:row>16</xdr:row>
      <xdr:rowOff>170815</xdr:rowOff>
    </xdr:from>
    <xdr:to>
      <xdr:col>36</xdr:col>
      <xdr:colOff>542290</xdr:colOff>
      <xdr:row>31</xdr:row>
      <xdr:rowOff>126365</xdr:rowOff>
    </xdr:to>
    <xdr:graphicFrame>
      <xdr:nvGraphicFramePr>
        <xdr:cNvPr id="6" name="Chart 5"/>
        <xdr:cNvGraphicFramePr/>
      </xdr:nvGraphicFramePr>
      <xdr:xfrm>
        <a:off x="17483455" y="3300095"/>
        <a:ext cx="2925445" cy="2546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22</xdr:col>
      <xdr:colOff>16510</xdr:colOff>
      <xdr:row>33</xdr:row>
      <xdr:rowOff>21590</xdr:rowOff>
    </xdr:from>
    <xdr:to>
      <xdr:col>28</xdr:col>
      <xdr:colOff>491490</xdr:colOff>
      <xdr:row>47</xdr:row>
      <xdr:rowOff>146050</xdr:rowOff>
    </xdr:to>
    <xdr:graphicFrame>
      <xdr:nvGraphicFramePr>
        <xdr:cNvPr id="7" name="Chart 6"/>
        <xdr:cNvGraphicFramePr/>
      </xdr:nvGraphicFramePr>
      <xdr:xfrm>
        <a:off x="12021820" y="6087110"/>
        <a:ext cx="3840480" cy="2542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28</xdr:col>
      <xdr:colOff>633730</xdr:colOff>
      <xdr:row>32</xdr:row>
      <xdr:rowOff>170180</xdr:rowOff>
    </xdr:from>
    <xdr:to>
      <xdr:col>34</xdr:col>
      <xdr:colOff>41275</xdr:colOff>
      <xdr:row>47</xdr:row>
      <xdr:rowOff>121285</xdr:rowOff>
    </xdr:to>
    <xdr:graphicFrame>
      <xdr:nvGraphicFramePr>
        <xdr:cNvPr id="12" name="Chart 11"/>
        <xdr:cNvGraphicFramePr/>
      </xdr:nvGraphicFramePr>
      <xdr:xfrm>
        <a:off x="16004540" y="6062980"/>
        <a:ext cx="2925445" cy="25419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5"/>
  <sheetViews>
    <sheetView tabSelected="1" zoomScale="120" zoomScaleNormal="120" workbookViewId="0">
      <selection activeCell="M17" sqref="M17"/>
    </sheetView>
  </sheetViews>
  <sheetFormatPr defaultColWidth="11" defaultRowHeight="13.6"/>
  <cols>
    <col min="1" max="1" width="17.6153846153846" customWidth="1"/>
    <col min="2" max="2" width="4.92307692307692" customWidth="1"/>
    <col min="3" max="3" width="5" customWidth="1"/>
    <col min="4" max="4" width="4.92307692307692" customWidth="1"/>
    <col min="5" max="5" width="7.69230769230769" customWidth="1"/>
    <col min="6" max="6" width="7.11538461538461" customWidth="1"/>
    <col min="7" max="7" width="8.26923076923077" customWidth="1"/>
    <col min="8" max="8" width="9.03846153846154" customWidth="1"/>
    <col min="9" max="9" width="9.80769230769231" customWidth="1"/>
    <col min="10" max="10" width="7.69230769230769" customWidth="1"/>
    <col min="11" max="11" width="7.11538461538461" customWidth="1"/>
    <col min="12" max="12" width="8.26923076923077" customWidth="1"/>
    <col min="13" max="13" width="9.03846153846154" customWidth="1"/>
    <col min="14" max="14" width="9.80769230769231" customWidth="1"/>
    <col min="15" max="15" width="9.94230769230769" customWidth="1"/>
    <col min="16" max="16" width="17.6153846153846" customWidth="1"/>
    <col min="17" max="17" width="4.92307692307692" customWidth="1"/>
    <col min="18" max="18" width="5" customWidth="1"/>
    <col min="19" max="19" width="4.92307692307692" customWidth="1"/>
    <col min="20" max="20" width="7.69230769230769" customWidth="1"/>
    <col min="21" max="21" width="7.11538461538461" customWidth="1"/>
    <col min="22" max="22" width="8.26923076923077" customWidth="1"/>
    <col min="23" max="23" width="9.03846153846154" customWidth="1"/>
    <col min="24" max="24" width="9.80769230769231" customWidth="1"/>
    <col min="25" max="25" width="7.69230769230769" customWidth="1"/>
    <col min="26" max="26" width="7.11538461538461" customWidth="1"/>
    <col min="27" max="27" width="8.26923076923077" customWidth="1"/>
    <col min="28" max="28" width="9.03846153846154" customWidth="1"/>
    <col min="29" max="29" width="9.80769230769231" customWidth="1"/>
    <col min="31" max="31" width="17.6153846153846" customWidth="1"/>
    <col min="32" max="32" width="4.92307692307692" customWidth="1"/>
    <col min="33" max="33" width="5" customWidth="1"/>
    <col min="34" max="34" width="4.92307692307692" customWidth="1"/>
    <col min="35" max="35" width="7.69230769230769" customWidth="1"/>
    <col min="36" max="36" width="7.11538461538461" customWidth="1"/>
    <col min="37" max="37" width="8.26923076923077" customWidth="1"/>
    <col min="38" max="38" width="9.03846153846154" customWidth="1"/>
    <col min="39" max="39" width="9.80769230769231" customWidth="1"/>
    <col min="40" max="40" width="7.69230769230769" customWidth="1"/>
    <col min="41" max="41" width="7.11538461538461" customWidth="1"/>
    <col min="42" max="42" width="8.26923076923077" customWidth="1"/>
    <col min="43" max="43" width="9.03846153846154" customWidth="1"/>
    <col min="44" max="44" width="9.80769230769231" customWidth="1"/>
  </cols>
  <sheetData>
    <row r="1" ht="16.8" spans="1:39">
      <c r="A1" s="4" t="s">
        <v>0</v>
      </c>
      <c r="B1" s="4"/>
      <c r="C1" s="4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4" t="s">
        <v>1</v>
      </c>
      <c r="Q1" s="4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4" t="s">
        <v>2</v>
      </c>
      <c r="AF1" s="4"/>
      <c r="AG1" s="4"/>
      <c r="AH1" s="4"/>
      <c r="AI1" s="1"/>
      <c r="AJ1" s="1"/>
      <c r="AK1" s="1"/>
      <c r="AL1" s="1"/>
      <c r="AM1" s="1"/>
    </row>
    <row r="2" ht="16.8" spans="1:39">
      <c r="A2" s="4" t="s">
        <v>3</v>
      </c>
      <c r="B2" s="4"/>
      <c r="C2" s="4"/>
      <c r="D2" s="4"/>
      <c r="E2" s="30" t="s">
        <v>4</v>
      </c>
      <c r="F2" s="1"/>
      <c r="G2" s="1"/>
      <c r="H2" s="12" t="s">
        <v>5</v>
      </c>
      <c r="I2" s="12"/>
      <c r="J2" s="1"/>
      <c r="K2" s="1"/>
      <c r="L2" s="1"/>
      <c r="M2" s="1"/>
      <c r="N2" s="1"/>
      <c r="O2" s="1"/>
      <c r="P2" s="4" t="s">
        <v>6</v>
      </c>
      <c r="Q2" s="4"/>
      <c r="R2" s="4"/>
      <c r="S2" s="4"/>
      <c r="T2" s="30" t="s">
        <v>4</v>
      </c>
      <c r="U2" s="1"/>
      <c r="V2" s="1"/>
      <c r="W2" s="1" t="s">
        <v>5</v>
      </c>
      <c r="X2" s="1"/>
      <c r="Y2" s="1"/>
      <c r="Z2" s="1"/>
      <c r="AA2" s="1"/>
      <c r="AB2" s="1"/>
      <c r="AC2" s="1"/>
      <c r="AD2" s="1"/>
      <c r="AE2" s="4" t="s">
        <v>3</v>
      </c>
      <c r="AF2" s="4"/>
      <c r="AG2" s="4"/>
      <c r="AH2" s="4"/>
      <c r="AI2" s="30" t="s">
        <v>4</v>
      </c>
      <c r="AJ2" s="1"/>
      <c r="AK2" s="1"/>
      <c r="AL2" s="12" t="s">
        <v>5</v>
      </c>
      <c r="AM2" s="12"/>
    </row>
    <row r="3" ht="17.6" spans="1:39">
      <c r="A3" s="5" t="s">
        <v>7</v>
      </c>
      <c r="B3" s="5"/>
      <c r="C3" s="5"/>
      <c r="D3" s="5"/>
      <c r="E3" s="31" t="s">
        <v>8</v>
      </c>
      <c r="F3" s="1"/>
      <c r="G3" s="1"/>
      <c r="H3" s="12" t="s">
        <v>9</v>
      </c>
      <c r="I3" s="12"/>
      <c r="J3" s="1"/>
      <c r="K3" s="1"/>
      <c r="L3" s="1"/>
      <c r="M3" s="1"/>
      <c r="N3" s="1"/>
      <c r="O3" s="1"/>
      <c r="P3" s="5" t="s">
        <v>10</v>
      </c>
      <c r="Q3" s="5"/>
      <c r="R3" s="5"/>
      <c r="S3" s="5"/>
      <c r="T3" s="31" t="s">
        <v>8</v>
      </c>
      <c r="U3" s="1"/>
      <c r="V3" s="1"/>
      <c r="W3" s="1" t="s">
        <v>9</v>
      </c>
      <c r="X3" s="1"/>
      <c r="Y3" s="1"/>
      <c r="Z3" s="1"/>
      <c r="AA3" s="1"/>
      <c r="AB3" s="1"/>
      <c r="AC3" s="1"/>
      <c r="AD3" s="1"/>
      <c r="AE3" s="5" t="s">
        <v>10</v>
      </c>
      <c r="AF3" s="5"/>
      <c r="AG3" s="5"/>
      <c r="AH3" s="5"/>
      <c r="AI3" s="31" t="s">
        <v>8</v>
      </c>
      <c r="AJ3" s="1"/>
      <c r="AK3" s="1"/>
      <c r="AL3" s="12" t="s">
        <v>9</v>
      </c>
      <c r="AM3" s="12"/>
    </row>
    <row r="4" spans="1:39">
      <c r="A4" s="6" t="s">
        <v>11</v>
      </c>
      <c r="B4" s="6"/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 t="s">
        <v>11</v>
      </c>
      <c r="Q4" s="6"/>
      <c r="R4" s="6"/>
      <c r="S4" s="6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6" t="s">
        <v>11</v>
      </c>
      <c r="AF4" s="6"/>
      <c r="AG4" s="6"/>
      <c r="AH4" s="6"/>
      <c r="AI4" s="1"/>
      <c r="AJ4" s="1"/>
      <c r="AK4" s="1"/>
      <c r="AL4" s="1"/>
      <c r="AM4" s="1"/>
    </row>
    <row r="5" s="1" customFormat="1" spans="1:44">
      <c r="A5" s="6"/>
      <c r="B5" s="1"/>
      <c r="C5" s="1"/>
      <c r="D5" s="1"/>
      <c r="E5" s="32" t="s">
        <v>12</v>
      </c>
      <c r="F5" s="33"/>
      <c r="G5" s="33"/>
      <c r="H5" s="33"/>
      <c r="I5" s="47"/>
      <c r="J5" s="32" t="s">
        <v>13</v>
      </c>
      <c r="K5" s="33"/>
      <c r="L5" s="33"/>
      <c r="M5" s="33"/>
      <c r="N5" s="47"/>
      <c r="P5" s="6"/>
      <c r="Q5" s="1"/>
      <c r="R5" s="1"/>
      <c r="S5" s="1"/>
      <c r="T5" s="32" t="s">
        <v>12</v>
      </c>
      <c r="U5" s="33"/>
      <c r="V5" s="33"/>
      <c r="W5" s="33"/>
      <c r="X5" s="47"/>
      <c r="Y5" s="32" t="s">
        <v>13</v>
      </c>
      <c r="Z5" s="33"/>
      <c r="AA5" s="33"/>
      <c r="AB5" s="33"/>
      <c r="AC5" s="47"/>
      <c r="AE5" s="6"/>
      <c r="AF5" s="1"/>
      <c r="AG5" s="1"/>
      <c r="AH5" s="1"/>
      <c r="AI5" s="32" t="s">
        <v>12</v>
      </c>
      <c r="AJ5" s="33"/>
      <c r="AK5" s="33"/>
      <c r="AL5" s="33"/>
      <c r="AM5" s="47"/>
      <c r="AN5" s="32" t="s">
        <v>13</v>
      </c>
      <c r="AO5" s="33"/>
      <c r="AP5" s="33"/>
      <c r="AQ5" s="33"/>
      <c r="AR5" s="47"/>
    </row>
    <row r="6" ht="28" spans="1:44">
      <c r="A6" s="7" t="s">
        <v>14</v>
      </c>
      <c r="B6" s="8" t="s">
        <v>12</v>
      </c>
      <c r="C6" s="9" t="s">
        <v>15</v>
      </c>
      <c r="D6" s="10" t="s">
        <v>16</v>
      </c>
      <c r="E6" s="9" t="s">
        <v>17</v>
      </c>
      <c r="F6" s="9" t="s">
        <v>18</v>
      </c>
      <c r="G6" s="10" t="s">
        <v>19</v>
      </c>
      <c r="H6" s="34" t="s">
        <v>20</v>
      </c>
      <c r="I6" s="48" t="s">
        <v>21</v>
      </c>
      <c r="J6" s="9" t="s">
        <v>17</v>
      </c>
      <c r="K6" s="9" t="s">
        <v>18</v>
      </c>
      <c r="L6" s="10" t="s">
        <v>19</v>
      </c>
      <c r="M6" s="34" t="s">
        <v>20</v>
      </c>
      <c r="N6" s="48" t="s">
        <v>21</v>
      </c>
      <c r="O6" s="1"/>
      <c r="P6" s="7" t="s">
        <v>14</v>
      </c>
      <c r="Q6" s="8" t="s">
        <v>12</v>
      </c>
      <c r="R6" s="9" t="s">
        <v>15</v>
      </c>
      <c r="S6" s="10" t="s">
        <v>16</v>
      </c>
      <c r="T6" s="9" t="s">
        <v>17</v>
      </c>
      <c r="U6" s="9" t="s">
        <v>18</v>
      </c>
      <c r="V6" s="10" t="s">
        <v>19</v>
      </c>
      <c r="W6" s="34" t="s">
        <v>20</v>
      </c>
      <c r="X6" s="48" t="s">
        <v>21</v>
      </c>
      <c r="Y6" s="9" t="s">
        <v>17</v>
      </c>
      <c r="Z6" s="9" t="s">
        <v>18</v>
      </c>
      <c r="AA6" s="10" t="s">
        <v>19</v>
      </c>
      <c r="AB6" s="34" t="s">
        <v>20</v>
      </c>
      <c r="AC6" s="48" t="s">
        <v>21</v>
      </c>
      <c r="AD6" s="1"/>
      <c r="AE6" s="7" t="s">
        <v>14</v>
      </c>
      <c r="AF6" s="8" t="s">
        <v>12</v>
      </c>
      <c r="AG6" s="9" t="s">
        <v>15</v>
      </c>
      <c r="AH6" s="10" t="s">
        <v>16</v>
      </c>
      <c r="AI6" s="9" t="s">
        <v>17</v>
      </c>
      <c r="AJ6" s="9" t="s">
        <v>18</v>
      </c>
      <c r="AK6" s="10" t="s">
        <v>19</v>
      </c>
      <c r="AL6" s="34" t="s">
        <v>20</v>
      </c>
      <c r="AM6" s="48" t="s">
        <v>21</v>
      </c>
      <c r="AN6" s="9" t="s">
        <v>17</v>
      </c>
      <c r="AO6" s="9" t="s">
        <v>18</v>
      </c>
      <c r="AP6" s="10" t="s">
        <v>19</v>
      </c>
      <c r="AQ6" s="34" t="s">
        <v>20</v>
      </c>
      <c r="AR6" s="48" t="s">
        <v>21</v>
      </c>
    </row>
    <row r="7" spans="1:44">
      <c r="A7" s="11" t="s">
        <v>22</v>
      </c>
      <c r="B7" s="12">
        <v>648</v>
      </c>
      <c r="C7" s="12">
        <v>72</v>
      </c>
      <c r="D7" s="12">
        <v>720</v>
      </c>
      <c r="E7" s="35">
        <v>647</v>
      </c>
      <c r="F7" s="36">
        <v>1</v>
      </c>
      <c r="G7" s="36">
        <v>1</v>
      </c>
      <c r="H7" s="37">
        <v>0.998456790123457</v>
      </c>
      <c r="I7" s="49">
        <v>0.998456790123457</v>
      </c>
      <c r="J7" s="35">
        <v>64</v>
      </c>
      <c r="K7" s="36">
        <v>8</v>
      </c>
      <c r="L7" s="36">
        <v>5</v>
      </c>
      <c r="M7" s="37">
        <v>0.888888888888889</v>
      </c>
      <c r="N7" s="49">
        <v>0.927536231884058</v>
      </c>
      <c r="O7" s="1"/>
      <c r="P7" s="11" t="s">
        <v>22</v>
      </c>
      <c r="Q7" s="12">
        <v>648</v>
      </c>
      <c r="R7" s="12">
        <v>77</v>
      </c>
      <c r="S7" s="12">
        <v>725</v>
      </c>
      <c r="T7" s="35">
        <v>648</v>
      </c>
      <c r="U7" s="36">
        <v>0</v>
      </c>
      <c r="V7" s="36">
        <v>0</v>
      </c>
      <c r="W7" s="37">
        <v>1</v>
      </c>
      <c r="X7" s="49">
        <v>1</v>
      </c>
      <c r="Y7" s="35">
        <v>64</v>
      </c>
      <c r="Z7" s="36">
        <v>13</v>
      </c>
      <c r="AA7" s="36">
        <v>6</v>
      </c>
      <c r="AB7" s="37">
        <v>0.831168831168831</v>
      </c>
      <c r="AC7" s="49">
        <v>0.914285714285714</v>
      </c>
      <c r="AD7" s="1"/>
      <c r="AE7" s="18" t="s">
        <v>22</v>
      </c>
      <c r="AF7" s="58">
        <v>648</v>
      </c>
      <c r="AG7" s="62">
        <v>77</v>
      </c>
      <c r="AH7" s="62">
        <v>725</v>
      </c>
      <c r="AI7" s="35">
        <v>648</v>
      </c>
      <c r="AJ7" s="36">
        <v>0</v>
      </c>
      <c r="AK7" s="36">
        <v>0</v>
      </c>
      <c r="AL7" s="37">
        <v>1</v>
      </c>
      <c r="AM7" s="49">
        <v>1</v>
      </c>
      <c r="AN7" s="35">
        <v>65</v>
      </c>
      <c r="AO7" s="36">
        <v>12</v>
      </c>
      <c r="AP7" s="36">
        <v>5</v>
      </c>
      <c r="AQ7" s="37">
        <v>0.844155844155844</v>
      </c>
      <c r="AR7" s="49">
        <v>0.928571428571429</v>
      </c>
    </row>
    <row r="8" spans="1:44">
      <c r="A8" s="13" t="s">
        <v>23</v>
      </c>
      <c r="B8" s="12">
        <v>660</v>
      </c>
      <c r="C8" s="12">
        <v>76</v>
      </c>
      <c r="D8" s="12">
        <v>736</v>
      </c>
      <c r="E8" s="38">
        <v>647</v>
      </c>
      <c r="F8" s="39">
        <v>13</v>
      </c>
      <c r="G8" s="39">
        <v>4</v>
      </c>
      <c r="H8" s="40">
        <v>0.98030303030303</v>
      </c>
      <c r="I8" s="50">
        <v>0.993855606758833</v>
      </c>
      <c r="J8" s="38">
        <v>46</v>
      </c>
      <c r="K8" s="39">
        <v>30</v>
      </c>
      <c r="L8" s="39">
        <v>26</v>
      </c>
      <c r="M8" s="40">
        <v>0.605263157894737</v>
      </c>
      <c r="N8" s="50">
        <v>0.638888888888889</v>
      </c>
      <c r="O8" s="1"/>
      <c r="P8" s="13" t="s">
        <v>23</v>
      </c>
      <c r="Q8" s="12">
        <v>657</v>
      </c>
      <c r="R8" s="12">
        <v>73</v>
      </c>
      <c r="S8" s="12">
        <v>730</v>
      </c>
      <c r="T8" s="38">
        <v>647</v>
      </c>
      <c r="U8" s="39">
        <v>10</v>
      </c>
      <c r="V8" s="39">
        <v>4</v>
      </c>
      <c r="W8" s="40">
        <v>0.984779299847793</v>
      </c>
      <c r="X8" s="50">
        <v>0.993855606758833</v>
      </c>
      <c r="Y8" s="38">
        <v>46</v>
      </c>
      <c r="Z8" s="39">
        <v>27</v>
      </c>
      <c r="AA8" s="39">
        <v>26</v>
      </c>
      <c r="AB8" s="40">
        <v>0.63013698630137</v>
      </c>
      <c r="AC8" s="50">
        <v>0.638888888888889</v>
      </c>
      <c r="AD8" s="1"/>
      <c r="AE8" s="18" t="s">
        <v>23</v>
      </c>
      <c r="AF8" s="59">
        <v>657</v>
      </c>
      <c r="AG8" s="63">
        <v>72</v>
      </c>
      <c r="AH8" s="63">
        <v>729</v>
      </c>
      <c r="AI8" s="38">
        <v>647</v>
      </c>
      <c r="AJ8" s="39">
        <v>10</v>
      </c>
      <c r="AK8" s="39">
        <v>4</v>
      </c>
      <c r="AL8" s="40">
        <v>0.984779299847793</v>
      </c>
      <c r="AM8" s="50">
        <v>0.993855606758833</v>
      </c>
      <c r="AN8" s="38">
        <v>46</v>
      </c>
      <c r="AO8" s="39">
        <v>26</v>
      </c>
      <c r="AP8" s="39">
        <v>26</v>
      </c>
      <c r="AQ8" s="40">
        <v>0.638888888888889</v>
      </c>
      <c r="AR8" s="50">
        <v>0.638888888888889</v>
      </c>
    </row>
    <row r="9" spans="1:44">
      <c r="A9" s="13" t="s">
        <v>24</v>
      </c>
      <c r="B9" s="12">
        <v>655</v>
      </c>
      <c r="C9" s="12">
        <v>90</v>
      </c>
      <c r="D9" s="12">
        <v>745</v>
      </c>
      <c r="E9" s="38">
        <v>648</v>
      </c>
      <c r="F9" s="39">
        <v>7</v>
      </c>
      <c r="G9" s="39">
        <v>0</v>
      </c>
      <c r="H9" s="40">
        <v>0.989312977099237</v>
      </c>
      <c r="I9" s="50">
        <v>1</v>
      </c>
      <c r="J9" s="38">
        <v>62</v>
      </c>
      <c r="K9" s="39">
        <v>28</v>
      </c>
      <c r="L9" s="39">
        <v>9</v>
      </c>
      <c r="M9" s="40">
        <v>0.688888888888889</v>
      </c>
      <c r="N9" s="50">
        <v>0.873239436619718</v>
      </c>
      <c r="O9" s="1"/>
      <c r="P9" s="13" t="s">
        <v>24</v>
      </c>
      <c r="Q9" s="12">
        <v>649</v>
      </c>
      <c r="R9" s="12">
        <v>88</v>
      </c>
      <c r="S9" s="12">
        <v>737</v>
      </c>
      <c r="T9" s="38">
        <v>647</v>
      </c>
      <c r="U9" s="39">
        <v>2</v>
      </c>
      <c r="V9" s="39">
        <v>1</v>
      </c>
      <c r="W9" s="40">
        <v>0.996918335901387</v>
      </c>
      <c r="X9" s="50">
        <v>0.998456790123457</v>
      </c>
      <c r="Y9" s="38">
        <v>62</v>
      </c>
      <c r="Z9" s="39">
        <v>26</v>
      </c>
      <c r="AA9" s="39">
        <v>9</v>
      </c>
      <c r="AB9" s="40">
        <v>0.704545454545455</v>
      </c>
      <c r="AC9" s="50">
        <v>0.873239436619718</v>
      </c>
      <c r="AD9" s="1"/>
      <c r="AE9" s="18" t="s">
        <v>24</v>
      </c>
      <c r="AF9" s="59">
        <v>651</v>
      </c>
      <c r="AG9" s="63">
        <v>90</v>
      </c>
      <c r="AH9" s="63">
        <v>741</v>
      </c>
      <c r="AI9" s="38">
        <v>647</v>
      </c>
      <c r="AJ9" s="39">
        <v>4</v>
      </c>
      <c r="AK9" s="39">
        <v>1</v>
      </c>
      <c r="AL9" s="40">
        <v>0.993855606758833</v>
      </c>
      <c r="AM9" s="50">
        <v>0.998456790123457</v>
      </c>
      <c r="AN9" s="38">
        <v>63</v>
      </c>
      <c r="AO9" s="39">
        <v>27</v>
      </c>
      <c r="AP9" s="39">
        <v>9</v>
      </c>
      <c r="AQ9" s="40">
        <v>0.7</v>
      </c>
      <c r="AR9" s="50">
        <v>0.875</v>
      </c>
    </row>
    <row r="10" spans="1:44">
      <c r="A10" s="13" t="s">
        <v>25</v>
      </c>
      <c r="B10" s="12">
        <v>644</v>
      </c>
      <c r="C10" s="12">
        <v>43</v>
      </c>
      <c r="D10" s="12">
        <v>687</v>
      </c>
      <c r="E10" s="38">
        <v>644</v>
      </c>
      <c r="F10" s="39">
        <v>0</v>
      </c>
      <c r="G10" s="39">
        <v>5</v>
      </c>
      <c r="H10" s="40">
        <v>1</v>
      </c>
      <c r="I10" s="50">
        <v>0.992295839753467</v>
      </c>
      <c r="J10" s="38">
        <v>37</v>
      </c>
      <c r="K10" s="39">
        <v>6</v>
      </c>
      <c r="L10" s="39">
        <v>34</v>
      </c>
      <c r="M10" s="40">
        <v>0.86046511627907</v>
      </c>
      <c r="N10" s="50">
        <v>0.52112676056338</v>
      </c>
      <c r="O10" s="1"/>
      <c r="P10" s="53" t="s">
        <v>25</v>
      </c>
      <c r="Q10" s="12">
        <v>647</v>
      </c>
      <c r="R10" s="12">
        <v>41</v>
      </c>
      <c r="S10" s="12">
        <v>688</v>
      </c>
      <c r="T10" s="38">
        <v>644</v>
      </c>
      <c r="U10" s="39">
        <v>3</v>
      </c>
      <c r="V10" s="39">
        <v>5</v>
      </c>
      <c r="W10" s="40">
        <v>0.995363214837713</v>
      </c>
      <c r="X10" s="50">
        <v>0.992295839753467</v>
      </c>
      <c r="Y10" s="38">
        <v>38</v>
      </c>
      <c r="Z10" s="39">
        <v>3</v>
      </c>
      <c r="AA10" s="39">
        <v>33</v>
      </c>
      <c r="AB10" s="40">
        <v>0.926829268292683</v>
      </c>
      <c r="AC10" s="50">
        <v>0.535211267605634</v>
      </c>
      <c r="AD10" s="1"/>
      <c r="AE10" s="18" t="s">
        <v>25</v>
      </c>
      <c r="AF10" s="60">
        <v>645</v>
      </c>
      <c r="AG10" s="64">
        <v>43</v>
      </c>
      <c r="AH10" s="64">
        <v>688</v>
      </c>
      <c r="AI10" s="38">
        <v>644</v>
      </c>
      <c r="AJ10" s="39">
        <v>1</v>
      </c>
      <c r="AK10" s="39">
        <v>5</v>
      </c>
      <c r="AL10" s="40">
        <v>0.998449612403101</v>
      </c>
      <c r="AM10" s="50">
        <v>0.992295839753467</v>
      </c>
      <c r="AN10" s="38">
        <v>38</v>
      </c>
      <c r="AO10" s="39">
        <v>5</v>
      </c>
      <c r="AP10" s="39">
        <v>34</v>
      </c>
      <c r="AQ10" s="40">
        <v>0.883720930232558</v>
      </c>
      <c r="AR10" s="50">
        <v>0.527777777777778</v>
      </c>
    </row>
    <row r="11" s="2" customFormat="1" spans="1:44">
      <c r="A11" s="14" t="s">
        <v>26</v>
      </c>
      <c r="B11" s="12">
        <v>687</v>
      </c>
      <c r="C11" s="12">
        <v>88</v>
      </c>
      <c r="D11" s="12">
        <v>775</v>
      </c>
      <c r="E11" s="41">
        <v>647</v>
      </c>
      <c r="F11" s="42">
        <v>40</v>
      </c>
      <c r="G11" s="42">
        <v>1</v>
      </c>
      <c r="H11" s="43">
        <v>0.941775836972344</v>
      </c>
      <c r="I11" s="51">
        <v>0.998456790123457</v>
      </c>
      <c r="J11" s="41">
        <v>63</v>
      </c>
      <c r="K11" s="42">
        <v>25</v>
      </c>
      <c r="L11" s="42">
        <v>8</v>
      </c>
      <c r="M11" s="43">
        <v>0.715909090909091</v>
      </c>
      <c r="N11" s="51">
        <v>0.887323943661972</v>
      </c>
      <c r="O11" s="54"/>
      <c r="P11" s="14" t="s">
        <v>26</v>
      </c>
      <c r="Q11" s="12"/>
      <c r="R11" s="12"/>
      <c r="S11" s="12"/>
      <c r="T11" s="41"/>
      <c r="U11" s="42"/>
      <c r="V11" s="42"/>
      <c r="W11" s="43"/>
      <c r="X11" s="51"/>
      <c r="Y11" s="41"/>
      <c r="Z11" s="42"/>
      <c r="AA11" s="42"/>
      <c r="AB11" s="43"/>
      <c r="AC11" s="51"/>
      <c r="AD11" s="54"/>
      <c r="AE11" s="22" t="s">
        <v>26</v>
      </c>
      <c r="AF11" s="61">
        <v>661</v>
      </c>
      <c r="AG11" s="65">
        <v>88</v>
      </c>
      <c r="AH11" s="65">
        <v>749</v>
      </c>
      <c r="AI11" s="41">
        <v>647</v>
      </c>
      <c r="AJ11" s="42">
        <v>14</v>
      </c>
      <c r="AK11" s="42">
        <v>1</v>
      </c>
      <c r="AL11" s="43">
        <v>0.978819969742814</v>
      </c>
      <c r="AM11" s="51">
        <v>0.998456790123457</v>
      </c>
      <c r="AN11" s="41">
        <v>65</v>
      </c>
      <c r="AO11" s="42">
        <v>23</v>
      </c>
      <c r="AP11" s="42">
        <v>7</v>
      </c>
      <c r="AQ11" s="43">
        <v>0.738636363636364</v>
      </c>
      <c r="AR11" s="51">
        <v>0.902777777777778</v>
      </c>
    </row>
    <row r="12" spans="1:44">
      <c r="A12" s="15" t="s">
        <v>27</v>
      </c>
      <c r="B12" s="16"/>
      <c r="C12" s="17"/>
      <c r="D12" s="17"/>
      <c r="E12" s="17"/>
      <c r="F12" s="17"/>
      <c r="G12" s="17"/>
      <c r="H12" s="44"/>
      <c r="I12" s="44"/>
      <c r="J12" s="52"/>
      <c r="K12" s="52"/>
      <c r="L12" s="52"/>
      <c r="M12" s="55"/>
      <c r="N12" s="55"/>
      <c r="O12" s="1"/>
      <c r="P12" s="15" t="s">
        <v>27</v>
      </c>
      <c r="Q12" s="16"/>
      <c r="R12" s="17"/>
      <c r="S12" s="17"/>
      <c r="T12" s="17"/>
      <c r="U12" s="17"/>
      <c r="V12" s="17"/>
      <c r="W12" s="44"/>
      <c r="X12" s="44"/>
      <c r="Y12" s="52"/>
      <c r="Z12" s="52"/>
      <c r="AA12" s="52"/>
      <c r="AB12" s="55"/>
      <c r="AC12" s="55"/>
      <c r="AD12" s="1"/>
      <c r="AE12" s="15" t="s">
        <v>27</v>
      </c>
      <c r="AF12" s="16"/>
      <c r="AG12" s="17"/>
      <c r="AH12" s="17"/>
      <c r="AI12" s="17"/>
      <c r="AJ12" s="17"/>
      <c r="AK12" s="17"/>
      <c r="AL12" s="44"/>
      <c r="AM12" s="44"/>
      <c r="AN12" s="52"/>
      <c r="AO12" s="52"/>
      <c r="AP12" s="52"/>
      <c r="AQ12" s="55"/>
      <c r="AR12" s="55"/>
    </row>
    <row r="13" spans="1:44">
      <c r="A13" s="18" t="s">
        <v>28</v>
      </c>
      <c r="B13" s="19">
        <v>694</v>
      </c>
      <c r="C13" s="20">
        <v>118</v>
      </c>
      <c r="D13" s="21">
        <v>812</v>
      </c>
      <c r="E13" s="35">
        <v>648</v>
      </c>
      <c r="F13" s="36">
        <v>46</v>
      </c>
      <c r="G13" s="45">
        <v>9</v>
      </c>
      <c r="H13" s="37">
        <v>0.93371757925072</v>
      </c>
      <c r="I13" s="49">
        <v>0.986301369863014</v>
      </c>
      <c r="J13" s="35">
        <v>64</v>
      </c>
      <c r="K13" s="36">
        <v>54</v>
      </c>
      <c r="L13" s="36">
        <v>49</v>
      </c>
      <c r="M13" s="37">
        <v>0.542372881355932</v>
      </c>
      <c r="N13" s="49">
        <v>0.566371681415929</v>
      </c>
      <c r="O13" s="1"/>
      <c r="P13" s="18" t="s">
        <v>28</v>
      </c>
      <c r="Q13" s="19">
        <v>663</v>
      </c>
      <c r="R13" s="20">
        <v>112</v>
      </c>
      <c r="S13" s="57">
        <v>775</v>
      </c>
      <c r="T13" s="35">
        <v>648</v>
      </c>
      <c r="U13" s="36">
        <v>15</v>
      </c>
      <c r="V13" s="36">
        <v>7</v>
      </c>
      <c r="W13" s="37">
        <v>0.97737556561086</v>
      </c>
      <c r="X13" s="49">
        <v>0.989312977099237</v>
      </c>
      <c r="Y13" s="35">
        <v>64</v>
      </c>
      <c r="Z13" s="36">
        <v>48</v>
      </c>
      <c r="AA13" s="36">
        <v>49</v>
      </c>
      <c r="AB13" s="37">
        <v>0.571428571428571</v>
      </c>
      <c r="AC13" s="49">
        <v>0.566371681415929</v>
      </c>
      <c r="AD13" s="1"/>
      <c r="AE13" s="18" t="s">
        <v>28</v>
      </c>
      <c r="AF13" s="19">
        <v>671</v>
      </c>
      <c r="AG13" s="20">
        <v>119</v>
      </c>
      <c r="AH13" s="21">
        <v>790</v>
      </c>
      <c r="AI13" s="35">
        <v>648</v>
      </c>
      <c r="AJ13" s="36">
        <v>23</v>
      </c>
      <c r="AK13" s="45">
        <v>7</v>
      </c>
      <c r="AL13" s="37">
        <v>0.965722801788376</v>
      </c>
      <c r="AM13" s="49">
        <v>0.989312977099237</v>
      </c>
      <c r="AN13" s="35">
        <v>65</v>
      </c>
      <c r="AO13" s="36">
        <v>54</v>
      </c>
      <c r="AP13" s="36">
        <v>49</v>
      </c>
      <c r="AQ13" s="37">
        <v>0.546218487394958</v>
      </c>
      <c r="AR13" s="49">
        <v>0.570175438596491</v>
      </c>
    </row>
    <row r="14" s="3" customFormat="1" ht="15.2" spans="1:44">
      <c r="A14" s="22" t="s">
        <v>29</v>
      </c>
      <c r="B14" s="23">
        <v>642</v>
      </c>
      <c r="C14" s="24">
        <v>24</v>
      </c>
      <c r="D14" s="25">
        <v>666</v>
      </c>
      <c r="E14" s="41">
        <v>642</v>
      </c>
      <c r="F14" s="42">
        <v>0</v>
      </c>
      <c r="G14" s="46">
        <v>0</v>
      </c>
      <c r="H14" s="43">
        <v>1</v>
      </c>
      <c r="I14" s="51">
        <v>1</v>
      </c>
      <c r="J14" s="41">
        <v>23</v>
      </c>
      <c r="K14" s="42">
        <v>1</v>
      </c>
      <c r="L14" s="42">
        <v>5</v>
      </c>
      <c r="M14" s="43">
        <v>0.958333333333333</v>
      </c>
      <c r="N14" s="51">
        <v>0.821428571428571</v>
      </c>
      <c r="O14" s="56"/>
      <c r="P14" s="22" t="s">
        <v>30</v>
      </c>
      <c r="Q14" s="23">
        <v>644</v>
      </c>
      <c r="R14" s="24">
        <v>24</v>
      </c>
      <c r="S14" s="25">
        <v>668</v>
      </c>
      <c r="T14" s="41">
        <v>644</v>
      </c>
      <c r="U14" s="42">
        <v>0</v>
      </c>
      <c r="V14" s="42">
        <v>0</v>
      </c>
      <c r="W14" s="43">
        <v>1</v>
      </c>
      <c r="X14" s="51">
        <v>1</v>
      </c>
      <c r="Y14" s="41">
        <v>23</v>
      </c>
      <c r="Z14" s="42">
        <v>1</v>
      </c>
      <c r="AA14" s="42">
        <v>6</v>
      </c>
      <c r="AB14" s="43">
        <v>0.958333333333333</v>
      </c>
      <c r="AC14" s="51">
        <v>0.793103448275862</v>
      </c>
      <c r="AD14" s="56"/>
      <c r="AE14" s="22" t="s">
        <v>29</v>
      </c>
      <c r="AF14" s="23">
        <v>644</v>
      </c>
      <c r="AG14" s="24">
        <v>24</v>
      </c>
      <c r="AH14" s="25">
        <v>668</v>
      </c>
      <c r="AI14" s="41">
        <v>644</v>
      </c>
      <c r="AJ14" s="42">
        <v>0</v>
      </c>
      <c r="AK14" s="46">
        <v>0</v>
      </c>
      <c r="AL14" s="43">
        <v>1</v>
      </c>
      <c r="AM14" s="51">
        <v>1</v>
      </c>
      <c r="AN14" s="41">
        <v>23</v>
      </c>
      <c r="AO14" s="42">
        <v>1</v>
      </c>
      <c r="AP14" s="42">
        <v>5</v>
      </c>
      <c r="AQ14" s="43">
        <v>0.958333333333333</v>
      </c>
      <c r="AR14" s="51">
        <v>0.821428571428571</v>
      </c>
    </row>
    <row r="15" ht="16" spans="1:39">
      <c r="A15" s="26" t="s">
        <v>31</v>
      </c>
      <c r="B15" s="27">
        <v>651</v>
      </c>
      <c r="C15" s="28">
        <v>73</v>
      </c>
      <c r="D15" s="29">
        <v>724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6" t="s">
        <v>31</v>
      </c>
      <c r="Q15" s="27">
        <v>651</v>
      </c>
      <c r="R15" s="28">
        <v>73</v>
      </c>
      <c r="S15" s="29">
        <v>724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26" t="s">
        <v>31</v>
      </c>
      <c r="AF15" s="27">
        <v>651</v>
      </c>
      <c r="AG15" s="28">
        <v>73</v>
      </c>
      <c r="AH15" s="29">
        <v>724</v>
      </c>
      <c r="AI15" s="1"/>
      <c r="AJ15" s="1"/>
      <c r="AK15" s="1"/>
      <c r="AL15" s="1"/>
      <c r="AM15" s="1"/>
    </row>
  </sheetData>
  <mergeCells count="24">
    <mergeCell ref="A1:D1"/>
    <mergeCell ref="P1:S1"/>
    <mergeCell ref="AE1:AH1"/>
    <mergeCell ref="A2:D2"/>
    <mergeCell ref="H2:I2"/>
    <mergeCell ref="P2:S2"/>
    <mergeCell ref="W2:X2"/>
    <mergeCell ref="AE2:AH2"/>
    <mergeCell ref="AL2:AM2"/>
    <mergeCell ref="A3:D3"/>
    <mergeCell ref="H3:I3"/>
    <mergeCell ref="P3:S3"/>
    <mergeCell ref="W3:X3"/>
    <mergeCell ref="AE3:AH3"/>
    <mergeCell ref="AL3:AM3"/>
    <mergeCell ref="A4:D4"/>
    <mergeCell ref="P4:S4"/>
    <mergeCell ref="AE4:AH4"/>
    <mergeCell ref="E5:I5"/>
    <mergeCell ref="J5:N5"/>
    <mergeCell ref="T5:X5"/>
    <mergeCell ref="Y5:AC5"/>
    <mergeCell ref="AI5:AM5"/>
    <mergeCell ref="AN5:AR5"/>
  </mergeCells>
  <conditionalFormatting sqref="E7:E11">
    <cfRule type="top10" dxfId="0" priority="76" bottom="1" rank="1"/>
    <cfRule type="top10" dxfId="1" priority="75" rank="1"/>
  </conditionalFormatting>
  <conditionalFormatting sqref="E13:E14">
    <cfRule type="top10" dxfId="0" priority="66" bottom="1" rank="1"/>
    <cfRule type="top10" dxfId="1" priority="65" rank="1"/>
  </conditionalFormatting>
  <conditionalFormatting sqref="F7:F11">
    <cfRule type="top10" dxfId="0" priority="74" rank="1"/>
    <cfRule type="top10" dxfId="1" priority="73" bottom="1" rank="1"/>
  </conditionalFormatting>
  <conditionalFormatting sqref="F13:F14">
    <cfRule type="top10" dxfId="0" priority="64" rank="1"/>
    <cfRule type="top10" dxfId="1" priority="63" bottom="1" rank="1"/>
  </conditionalFormatting>
  <conditionalFormatting sqref="G7:G11">
    <cfRule type="top10" dxfId="0" priority="72" rank="1"/>
    <cfRule type="top10" dxfId="1" priority="71" bottom="1" rank="1"/>
  </conditionalFormatting>
  <conditionalFormatting sqref="G13:G14">
    <cfRule type="top10" dxfId="0" priority="62" rank="1"/>
    <cfRule type="top10" dxfId="1" priority="61" bottom="1" rank="1"/>
  </conditionalFormatting>
  <conditionalFormatting sqref="H7:H11">
    <cfRule type="top10" dxfId="0" priority="80" bottom="1" rank="1"/>
    <cfRule type="top10" dxfId="1" priority="79" rank="1"/>
  </conditionalFormatting>
  <conditionalFormatting sqref="H13:H14">
    <cfRule type="top10" dxfId="0" priority="70" bottom="1" rank="1"/>
    <cfRule type="top10" dxfId="1" priority="69" rank="1"/>
  </conditionalFormatting>
  <conditionalFormatting sqref="I7:I11">
    <cfRule type="top10" dxfId="0" priority="78" bottom="1" rank="1"/>
    <cfRule type="top10" dxfId="1" priority="77" rank="1"/>
  </conditionalFormatting>
  <conditionalFormatting sqref="I13:I14">
    <cfRule type="top10" dxfId="0" priority="68" bottom="1" rank="1"/>
    <cfRule type="top10" dxfId="1" priority="67" rank="1"/>
  </conditionalFormatting>
  <conditionalFormatting sqref="J7:J11">
    <cfRule type="top10" dxfId="0" priority="52" bottom="1" rank="1"/>
    <cfRule type="top10" dxfId="1" priority="51" rank="1"/>
  </conditionalFormatting>
  <conditionalFormatting sqref="J13:J14">
    <cfRule type="top10" dxfId="0" priority="46" bottom="1" rank="1"/>
    <cfRule type="top10" dxfId="1" priority="45" rank="1"/>
  </conditionalFormatting>
  <conditionalFormatting sqref="K7:K11">
    <cfRule type="top10" dxfId="0" priority="50" rank="1"/>
    <cfRule type="top10" dxfId="1" priority="49" bottom="1" rank="1"/>
  </conditionalFormatting>
  <conditionalFormatting sqref="K13:K14">
    <cfRule type="top10" dxfId="0" priority="44" rank="1"/>
    <cfRule type="top10" dxfId="1" priority="43" bottom="1" rank="1"/>
  </conditionalFormatting>
  <conditionalFormatting sqref="L7:L11">
    <cfRule type="top10" dxfId="0" priority="48" rank="1"/>
    <cfRule type="top10" dxfId="1" priority="47" bottom="1" rank="1"/>
  </conditionalFormatting>
  <conditionalFormatting sqref="L13:L14">
    <cfRule type="top10" dxfId="0" priority="42" rank="1"/>
    <cfRule type="top10" dxfId="1" priority="41" bottom="1" rank="1"/>
  </conditionalFormatting>
  <conditionalFormatting sqref="M7:M11">
    <cfRule type="top10" dxfId="0" priority="60" bottom="1" rank="1"/>
    <cfRule type="top10" dxfId="1" priority="59" rank="1"/>
  </conditionalFormatting>
  <conditionalFormatting sqref="M13:M14">
    <cfRule type="top10" dxfId="0" priority="56" bottom="1" rank="1"/>
    <cfRule type="top10" dxfId="1" priority="55" rank="1"/>
  </conditionalFormatting>
  <conditionalFormatting sqref="N7:N11">
    <cfRule type="top10" dxfId="0" priority="58" bottom="1" rank="1"/>
    <cfRule type="top10" dxfId="1" priority="57" rank="1"/>
  </conditionalFormatting>
  <conditionalFormatting sqref="N13:N14">
    <cfRule type="top10" dxfId="0" priority="54" bottom="1" rank="1"/>
    <cfRule type="top10" dxfId="1" priority="53" rank="1"/>
  </conditionalFormatting>
  <conditionalFormatting sqref="T7:T11">
    <cfRule type="top10" dxfId="0" priority="112" bottom="1" rank="1"/>
    <cfRule type="top10" dxfId="1" priority="111" rank="1"/>
  </conditionalFormatting>
  <conditionalFormatting sqref="T13:T14">
    <cfRule type="top10" dxfId="0" priority="106" bottom="1" rank="1"/>
    <cfRule type="top10" dxfId="1" priority="105" rank="1"/>
  </conditionalFormatting>
  <conditionalFormatting sqref="U7:U11">
    <cfRule type="top10" dxfId="0" priority="110" rank="1"/>
    <cfRule type="top10" dxfId="1" priority="109" bottom="1" rank="1"/>
  </conditionalFormatting>
  <conditionalFormatting sqref="U13:U14">
    <cfRule type="top10" dxfId="0" priority="104" rank="1"/>
    <cfRule type="top10" dxfId="1" priority="103" bottom="1" rank="1"/>
  </conditionalFormatting>
  <conditionalFormatting sqref="V7:V11">
    <cfRule type="top10" dxfId="0" priority="108" rank="1"/>
    <cfRule type="top10" dxfId="1" priority="107" bottom="1" rank="1"/>
  </conditionalFormatting>
  <conditionalFormatting sqref="V13:V14">
    <cfRule type="top10" dxfId="0" priority="102" rank="1"/>
    <cfRule type="top10" dxfId="1" priority="101" bottom="1" rank="1"/>
  </conditionalFormatting>
  <conditionalFormatting sqref="W7:W11">
    <cfRule type="top10" dxfId="0" priority="120" bottom="1" rank="1"/>
    <cfRule type="top10" dxfId="1" priority="119" rank="1"/>
  </conditionalFormatting>
  <conditionalFormatting sqref="W13:W14">
    <cfRule type="top10" dxfId="0" priority="116" bottom="1" rank="1"/>
    <cfRule type="top10" dxfId="1" priority="115" rank="1"/>
  </conditionalFormatting>
  <conditionalFormatting sqref="X7:X11">
    <cfRule type="top10" dxfId="0" priority="118" bottom="1" rank="1"/>
    <cfRule type="top10" dxfId="1" priority="117" rank="1"/>
  </conditionalFormatting>
  <conditionalFormatting sqref="X13:X14">
    <cfRule type="top10" dxfId="0" priority="114" bottom="1" rank="1"/>
    <cfRule type="top10" dxfId="1" priority="113" rank="1"/>
  </conditionalFormatting>
  <conditionalFormatting sqref="Y7:Y11">
    <cfRule type="top10" dxfId="0" priority="92" bottom="1" rank="1"/>
    <cfRule type="top10" dxfId="1" priority="91" rank="1"/>
  </conditionalFormatting>
  <conditionalFormatting sqref="Y13:Y14">
    <cfRule type="top10" dxfId="0" priority="86" bottom="1" rank="1"/>
    <cfRule type="top10" dxfId="1" priority="85" rank="1"/>
  </conditionalFormatting>
  <conditionalFormatting sqref="Z7:Z11">
    <cfRule type="top10" dxfId="0" priority="90" rank="1"/>
    <cfRule type="top10" dxfId="1" priority="89" bottom="1" rank="1"/>
  </conditionalFormatting>
  <conditionalFormatting sqref="Z13:Z14">
    <cfRule type="top10" dxfId="0" priority="84" rank="1"/>
    <cfRule type="top10" dxfId="1" priority="83" bottom="1" rank="1"/>
  </conditionalFormatting>
  <conditionalFormatting sqref="AA7:AA11">
    <cfRule type="top10" dxfId="0" priority="88" rank="1"/>
    <cfRule type="top10" dxfId="1" priority="87" bottom="1" rank="1"/>
  </conditionalFormatting>
  <conditionalFormatting sqref="AA13:AA14">
    <cfRule type="top10" dxfId="0" priority="82" rank="1"/>
    <cfRule type="top10" dxfId="1" priority="81" bottom="1" rank="1"/>
  </conditionalFormatting>
  <conditionalFormatting sqref="AB7:AB11">
    <cfRule type="top10" dxfId="0" priority="100" bottom="1" rank="1"/>
    <cfRule type="top10" dxfId="1" priority="99" rank="1"/>
  </conditionalFormatting>
  <conditionalFormatting sqref="AB13:AB14">
    <cfRule type="top10" dxfId="0" priority="96" bottom="1" rank="1"/>
    <cfRule type="top10" dxfId="1" priority="95" rank="1"/>
  </conditionalFormatting>
  <conditionalFormatting sqref="AC7:AC11">
    <cfRule type="top10" dxfId="0" priority="98" bottom="1" rank="1"/>
    <cfRule type="top10" dxfId="1" priority="97" rank="1"/>
  </conditionalFormatting>
  <conditionalFormatting sqref="AC13:AC14">
    <cfRule type="top10" dxfId="0" priority="94" bottom="1" rank="1"/>
    <cfRule type="top10" dxfId="1" priority="93" rank="1"/>
  </conditionalFormatting>
  <conditionalFormatting sqref="AI7:AI11">
    <cfRule type="top10" dxfId="0" priority="36" bottom="1" rank="1"/>
    <cfRule type="top10" dxfId="1" priority="35" rank="1"/>
  </conditionalFormatting>
  <conditionalFormatting sqref="AI13:AI14">
    <cfRule type="top10" dxfId="0" priority="26" bottom="1" rank="1"/>
    <cfRule type="top10" dxfId="1" priority="25" rank="1"/>
  </conditionalFormatting>
  <conditionalFormatting sqref="AJ7:AJ11">
    <cfRule type="top10" dxfId="0" priority="34" rank="1"/>
    <cfRule type="top10" dxfId="1" priority="33" bottom="1" rank="1"/>
  </conditionalFormatting>
  <conditionalFormatting sqref="AJ13:AJ14">
    <cfRule type="top10" dxfId="0" priority="24" rank="1"/>
    <cfRule type="top10" dxfId="1" priority="23" bottom="1" rank="1"/>
  </conditionalFormatting>
  <conditionalFormatting sqref="AK7:AK11">
    <cfRule type="top10" dxfId="0" priority="32" rank="1"/>
    <cfRule type="top10" dxfId="1" priority="31" bottom="1" rank="1"/>
  </conditionalFormatting>
  <conditionalFormatting sqref="AK13:AK14">
    <cfRule type="top10" dxfId="0" priority="22" rank="1"/>
    <cfRule type="top10" dxfId="1" priority="21" bottom="1" rank="1"/>
  </conditionalFormatting>
  <conditionalFormatting sqref="AL7:AL11">
    <cfRule type="top10" dxfId="0" priority="40" bottom="1" rank="1"/>
    <cfRule type="top10" dxfId="1" priority="39" rank="1"/>
  </conditionalFormatting>
  <conditionalFormatting sqref="AL13:AL14">
    <cfRule type="top10" dxfId="0" priority="30" bottom="1" rank="1"/>
    <cfRule type="top10" dxfId="1" priority="29" rank="1"/>
  </conditionalFormatting>
  <conditionalFormatting sqref="AM7:AM11">
    <cfRule type="top10" dxfId="0" priority="38" bottom="1" rank="1"/>
    <cfRule type="top10" dxfId="1" priority="37" rank="1"/>
  </conditionalFormatting>
  <conditionalFormatting sqref="AM13:AM14">
    <cfRule type="top10" dxfId="0" priority="28" bottom="1" rank="1"/>
    <cfRule type="top10" dxfId="1" priority="27" rank="1"/>
  </conditionalFormatting>
  <conditionalFormatting sqref="AN7:AN11">
    <cfRule type="top10" dxfId="0" priority="12" bottom="1" rank="1"/>
    <cfRule type="top10" dxfId="1" priority="11" rank="1"/>
  </conditionalFormatting>
  <conditionalFormatting sqref="AN13:AN14">
    <cfRule type="top10" dxfId="0" priority="6" bottom="1" rank="1"/>
    <cfRule type="top10" dxfId="1" priority="5" rank="1"/>
  </conditionalFormatting>
  <conditionalFormatting sqref="AO7:AO11">
    <cfRule type="top10" dxfId="0" priority="10" rank="1"/>
    <cfRule type="top10" dxfId="1" priority="9" bottom="1" rank="1"/>
  </conditionalFormatting>
  <conditionalFormatting sqref="AO13:AO14">
    <cfRule type="top10" dxfId="0" priority="4" rank="1"/>
    <cfRule type="top10" dxfId="1" priority="3" bottom="1" rank="1"/>
  </conditionalFormatting>
  <conditionalFormatting sqref="AP7:AP11">
    <cfRule type="top10" dxfId="0" priority="8" rank="1"/>
    <cfRule type="top10" dxfId="1" priority="7" bottom="1" rank="1"/>
  </conditionalFormatting>
  <conditionalFormatting sqref="AP13:AP14">
    <cfRule type="top10" dxfId="0" priority="2" rank="1"/>
    <cfRule type="top10" dxfId="1" priority="1" bottom="1" rank="1"/>
  </conditionalFormatting>
  <conditionalFormatting sqref="AQ7:AQ11">
    <cfRule type="top10" dxfId="0" priority="20" bottom="1" rank="1"/>
    <cfRule type="top10" dxfId="1" priority="19" rank="1"/>
  </conditionalFormatting>
  <conditionalFormatting sqref="AQ13:AQ14">
    <cfRule type="top10" dxfId="0" priority="16" bottom="1" rank="1"/>
    <cfRule type="top10" dxfId="1" priority="15" rank="1"/>
  </conditionalFormatting>
  <conditionalFormatting sqref="AR7:AR11">
    <cfRule type="top10" dxfId="0" priority="18" bottom="1" rank="1"/>
    <cfRule type="top10" dxfId="1" priority="17" rank="1"/>
  </conditionalFormatting>
  <conditionalFormatting sqref="AR13:AR14">
    <cfRule type="top10" dxfId="0" priority="14" bottom="1" rank="1"/>
    <cfRule type="top10" dxfId="1" priority="13" rank="1"/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giab_comparaison_RENOME_V5_Hg19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</dc:creator>
  <cp:lastModifiedBy>Mélodie</cp:lastModifiedBy>
  <dcterms:created xsi:type="dcterms:W3CDTF">2025-02-10T23:50:00Z</dcterms:created>
  <dcterms:modified xsi:type="dcterms:W3CDTF">2025-07-04T14:16:44Z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CEAC18D46AA4BB736C81E5677BD12C49_43</vt:lpwstr>
  </property>
  <property fmtid="{D5CDD505-2E9C-101B-9397-08002B2CF9AE}" pid="3" name="KSOProductBuildVer">
    <vt:lpwstr>1033-6.15.0.8733</vt:lpwstr>
  </property>
</Properties>
</file>